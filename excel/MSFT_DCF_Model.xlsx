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masontrinkner/ClaudeCode/msft-dcf-valuation/excel/"/>
    </mc:Choice>
  </mc:AlternateContent>
  <xr:revisionPtr revIDLastSave="0" documentId="13_ncr:1_{764E031C-4C50-6F4C-B200-0429BCB610A6}" xr6:coauthVersionLast="47" xr6:coauthVersionMax="47" xr10:uidLastSave="{00000000-0000-0000-0000-000000000000}"/>
  <bookViews>
    <workbookView xWindow="17420" yWindow="780" windowWidth="16780" windowHeight="21460" activeTab="6" xr2:uid="{00000000-000D-0000-FFFF-FFFF00000000}"/>
  </bookViews>
  <sheets>
    <sheet name="Historicals" sheetId="1" r:id="rId1"/>
    <sheet name="Profile" sheetId="2" r:id="rId2"/>
    <sheet name="Assumptions" sheetId="3" r:id="rId3"/>
    <sheet name="Forecast" sheetId="4" r:id="rId4"/>
    <sheet name="DCF" sheetId="5" r:id="rId5"/>
    <sheet name="Sensitivity" sheetId="6" r:id="rId6"/>
    <sheet name="Summar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5" l="1"/>
  <c r="B21" i="5"/>
  <c r="F16" i="4"/>
  <c r="E16" i="4"/>
  <c r="D16" i="4"/>
  <c r="C16" i="4"/>
  <c r="B16" i="4"/>
  <c r="F15" i="4"/>
  <c r="E15" i="4"/>
  <c r="D15" i="4"/>
  <c r="C15" i="4"/>
  <c r="B15" i="4"/>
  <c r="F14" i="4"/>
  <c r="E14" i="4"/>
  <c r="D14" i="4"/>
  <c r="C14" i="4"/>
  <c r="B14" i="4"/>
  <c r="F9" i="4"/>
  <c r="E9" i="4"/>
  <c r="D9" i="4"/>
  <c r="C9" i="4"/>
  <c r="B9" i="4"/>
  <c r="F7" i="4"/>
  <c r="E7" i="4"/>
  <c r="D7" i="4"/>
  <c r="C7" i="4"/>
  <c r="B7" i="4"/>
  <c r="K6" i="4"/>
  <c r="J6" i="4"/>
  <c r="I6" i="4"/>
  <c r="H6" i="4"/>
  <c r="G6" i="4"/>
  <c r="F5" i="4"/>
  <c r="E5" i="4"/>
  <c r="E6" i="4" s="1"/>
  <c r="D5" i="4"/>
  <c r="C5" i="4"/>
  <c r="B5" i="4"/>
  <c r="B6" i="4" s="1"/>
  <c r="B50" i="3"/>
  <c r="B47" i="3"/>
  <c r="B20" i="5" s="1"/>
  <c r="B42" i="3"/>
  <c r="B6" i="5" s="1"/>
  <c r="C6" i="5" s="1"/>
  <c r="D6" i="5" s="1"/>
  <c r="E6" i="5" s="1"/>
  <c r="F6" i="5" s="1"/>
  <c r="B37" i="3"/>
  <c r="B26" i="5" s="1"/>
  <c r="B36" i="3"/>
  <c r="B24" i="5" s="1"/>
  <c r="B28" i="3"/>
  <c r="B29" i="3" s="1"/>
  <c r="B26" i="3"/>
  <c r="B24" i="3"/>
  <c r="B25" i="3" s="1"/>
  <c r="B14" i="3"/>
  <c r="B13" i="3"/>
  <c r="B12" i="3"/>
  <c r="I21" i="1"/>
  <c r="B17" i="3" s="1"/>
  <c r="I19" i="1"/>
  <c r="I18" i="1"/>
  <c r="I17" i="1"/>
  <c r="A18" i="7"/>
  <c r="A12" i="7"/>
  <c r="A8" i="7"/>
  <c r="A7" i="7"/>
  <c r="A3" i="7"/>
  <c r="F8" i="4" l="1"/>
  <c r="D8" i="4"/>
  <c r="B8" i="4"/>
  <c r="B27" i="3"/>
  <c r="E8" i="4"/>
  <c r="C8" i="4"/>
  <c r="D6" i="4"/>
  <c r="C6" i="4"/>
  <c r="F13" i="4"/>
  <c r="F18" i="4" s="1"/>
  <c r="F10" i="4"/>
  <c r="E10" i="4"/>
  <c r="E13" i="4"/>
  <c r="E18" i="4" s="1"/>
  <c r="D13" i="4"/>
  <c r="D18" i="4" s="1"/>
  <c r="D10" i="4"/>
  <c r="C13" i="4"/>
  <c r="C18" i="4" s="1"/>
  <c r="C10" i="4"/>
  <c r="B13" i="4"/>
  <c r="B18" i="4" s="1"/>
  <c r="B10" i="4"/>
  <c r="G5" i="4"/>
  <c r="F6" i="4"/>
  <c r="B30" i="3"/>
  <c r="H5" i="4" l="1"/>
  <c r="G7" i="4"/>
  <c r="G8" i="4" s="1"/>
  <c r="G9" i="4"/>
  <c r="G16" i="4"/>
  <c r="G14" i="4"/>
  <c r="G15" i="4"/>
  <c r="A17" i="7"/>
  <c r="F8" i="5"/>
  <c r="E8" i="5"/>
  <c r="D8" i="5"/>
  <c r="C8" i="5"/>
  <c r="B8" i="5"/>
  <c r="I5" i="4" l="1"/>
  <c r="H7" i="4"/>
  <c r="H8" i="4" s="1"/>
  <c r="H9" i="4"/>
  <c r="H16" i="4"/>
  <c r="H14" i="4"/>
  <c r="H15" i="4"/>
  <c r="G13" i="4"/>
  <c r="G18" i="4" s="1"/>
  <c r="B7" i="5" s="1"/>
  <c r="G10" i="4"/>
  <c r="J5" i="4" l="1"/>
  <c r="I7" i="4"/>
  <c r="I8" i="4" s="1"/>
  <c r="I9" i="4"/>
  <c r="I16" i="4"/>
  <c r="I14" i="4"/>
  <c r="I15" i="4"/>
  <c r="H10" i="4"/>
  <c r="H13" i="4"/>
  <c r="H18" i="4" s="1"/>
  <c r="C7" i="5" s="1"/>
  <c r="B9" i="5"/>
  <c r="K5" i="4" l="1"/>
  <c r="J7" i="4"/>
  <c r="J8" i="4" s="1"/>
  <c r="J16" i="4"/>
  <c r="J9" i="4"/>
  <c r="J14" i="4"/>
  <c r="J15" i="4"/>
  <c r="I13" i="4"/>
  <c r="I18" i="4" s="1"/>
  <c r="D7" i="5" s="1"/>
  <c r="I10" i="4"/>
  <c r="C9" i="5"/>
  <c r="K7" i="4" l="1"/>
  <c r="K8" i="4" s="1"/>
  <c r="A20" i="7"/>
  <c r="K9" i="4"/>
  <c r="K14" i="4"/>
  <c r="K15" i="4"/>
  <c r="K16" i="4"/>
  <c r="J10" i="4"/>
  <c r="J13" i="4"/>
  <c r="J18" i="4" s="1"/>
  <c r="E7" i="5" s="1"/>
  <c r="D9" i="5"/>
  <c r="K10" i="4" l="1"/>
  <c r="K13" i="4"/>
  <c r="K18" i="4" s="1"/>
  <c r="E9" i="5"/>
  <c r="F7" i="5" l="1"/>
  <c r="B13" i="5"/>
  <c r="B14" i="5" s="1"/>
  <c r="B15" i="5" s="1"/>
  <c r="C9" i="6" l="1"/>
  <c r="C11" i="6"/>
  <c r="D10" i="6"/>
  <c r="G9" i="6"/>
  <c r="E11" i="6"/>
  <c r="G13" i="6"/>
  <c r="D9" i="6"/>
  <c r="F14" i="6"/>
  <c r="F12" i="6"/>
  <c r="F9" i="6"/>
  <c r="F10" i="6"/>
  <c r="G11" i="6"/>
  <c r="G12" i="6"/>
  <c r="D14" i="6"/>
  <c r="D12" i="6"/>
  <c r="C10" i="6"/>
  <c r="G10" i="6"/>
  <c r="C12" i="6"/>
  <c r="D13" i="6"/>
  <c r="G14" i="6"/>
  <c r="F11" i="6"/>
  <c r="E13" i="6"/>
  <c r="E14" i="6"/>
  <c r="E10" i="6"/>
  <c r="D11" i="6"/>
  <c r="E12" i="6"/>
  <c r="F13" i="6"/>
  <c r="E9" i="6"/>
  <c r="C13" i="6"/>
  <c r="C14" i="6"/>
  <c r="F9" i="5"/>
  <c r="B11" i="5" s="1"/>
  <c r="B17" i="5" s="1"/>
  <c r="B23" i="5" s="1"/>
  <c r="B25" i="5" s="1"/>
  <c r="A11" i="7" l="1"/>
  <c r="B8" i="6"/>
  <c r="A4" i="6"/>
  <c r="B27" i="5"/>
  <c r="A13" i="7" s="1"/>
</calcChain>
</file>

<file path=xl/sharedStrings.xml><?xml version="1.0" encoding="utf-8"?>
<sst xmlns="http://schemas.openxmlformats.org/spreadsheetml/2006/main" count="184" uniqueCount="153">
  <si>
    <t>MSFT DCF Model - Summary</t>
  </si>
  <si>
    <t>Values in USD - fiscal year ending June 30</t>
  </si>
  <si>
    <t>COMPANY OVERVIEW</t>
  </si>
  <si>
    <t>Company | Microsoft Corporation</t>
  </si>
  <si>
    <t>Sector | Technology</t>
  </si>
  <si>
    <t>VALUATION SUMMARY</t>
  </si>
  <si>
    <t>Recommendation | Small long position, long-term horizon</t>
  </si>
  <si>
    <t>KEY ASSUMPTIONS</t>
  </si>
  <si>
    <t>Projection Period | FY2027E - FY2031E</t>
  </si>
  <si>
    <t>INVESTMENT THESIS</t>
  </si>
  <si>
    <t>Upside | Copilot/Azure AI adoption faster than modeled</t>
  </si>
  <si>
    <t>Downside | AI CapEx doesn't translate to revenue growth</t>
  </si>
  <si>
    <t>View | Market pricing in more optimism than base case justifies</t>
  </si>
  <si>
    <t>MSFT — Historical Financials (yfinance · Python-Generated)</t>
  </si>
  <si>
    <t>Do not edit — regenerate by running export_to_excel.py</t>
  </si>
  <si>
    <t>Year</t>
  </si>
  <si>
    <t>Revenue</t>
  </si>
  <si>
    <t>Gross Profit</t>
  </si>
  <si>
    <t>EBIT</t>
  </si>
  <si>
    <t>Net Income</t>
  </si>
  <si>
    <t>Gross Margin</t>
  </si>
  <si>
    <t>EBIT Margin</t>
  </si>
  <si>
    <t>Tax Rate</t>
  </si>
  <si>
    <t>D&amp;A</t>
  </si>
  <si>
    <t>CapEx</t>
  </si>
  <si>
    <t>Free Cash Flow</t>
  </si>
  <si>
    <t>Total Debt</t>
  </si>
  <si>
    <t>Cash</t>
  </si>
  <si>
    <t>Net WC</t>
  </si>
  <si>
    <t>Cash + ST Inv</t>
  </si>
  <si>
    <t>3yr Average:</t>
  </si>
  <si>
    <t>MSFT — Company Profile (via yfinance)</t>
  </si>
  <si>
    <t>Company</t>
  </si>
  <si>
    <t>Microsoft Corporation</t>
  </si>
  <si>
    <t>Sector</t>
  </si>
  <si>
    <t>Technology</t>
  </si>
  <si>
    <t>Beta</t>
  </si>
  <si>
    <t>Shares Outstanding</t>
  </si>
  <si>
    <t>Market Cap</t>
  </si>
  <si>
    <t>Current Price</t>
  </si>
  <si>
    <t>52w High</t>
  </si>
  <si>
    <t>52w Low</t>
  </si>
  <si>
    <t>As of</t>
  </si>
  <si>
    <t>10/26/2026 close (Yahoo Finance)</t>
  </si>
  <si>
    <t>MSFT DCF Model - Assumptions</t>
  </si>
  <si>
    <t>Values in USD - fiscal year ending June 30 | Data Pulled From Alpha Spread, StockTitan, CNBC</t>
  </si>
  <si>
    <t>CapEx modeled as a glide path rather than flat assumption. FY2026A came in at 34.9% of revenue (vs 30% modeled in April), so the April glide path is shifted one year later.</t>
  </si>
  <si>
    <t>REVENUE GROWTH ASSUMPTIONS</t>
  </si>
  <si>
    <t>Revenue Growth - FY2027E</t>
  </si>
  <si>
    <t>Apr-2026 FY2027E assumption (Alpha Spread 3yr CAGR); FY2026A was 17.8%</t>
  </si>
  <si>
    <t>Revenue Growth - FY2028E</t>
  </si>
  <si>
    <t>Interpolation</t>
  </si>
  <si>
    <t>Revenue Growth - FY2029E</t>
  </si>
  <si>
    <t>Revenue Growth - FY2030E</t>
  </si>
  <si>
    <t>Revenue Growth - FY2031E</t>
  </si>
  <si>
    <t>Interpolation (extends taper one year)</t>
  </si>
  <si>
    <t>MARGIN ASSUMPTIONS</t>
  </si>
  <si>
    <t>Gross Margin %</t>
  </si>
  <si>
    <t>FY2026 Historicals</t>
  </si>
  <si>
    <t>EBIT Margin %</t>
  </si>
  <si>
    <t>FY2026 actual effective rate</t>
  </si>
  <si>
    <t>CASH FLOW ASSUMPTIONS</t>
  </si>
  <si>
    <t>D&amp;A as % of Revenue</t>
  </si>
  <si>
    <t>3yr avg FY2024-FY2026</t>
  </si>
  <si>
    <t>CapEx as % of Revenue (2027E-2031E)</t>
  </si>
  <si>
    <t>FY2026A 34.9% (Q4 FY2026 alone 39.8%); April glide path (30/24/18/14/11) shifted one year; pre-AI steady state ~13% (FY2023)</t>
  </si>
  <si>
    <t>Change NWC as % of Rev Change</t>
  </si>
  <si>
    <t>Assumption. Historical NWC changes swing from -$46B to +$16B because current assets include cash and investments, so they don't give a usable average</t>
  </si>
  <si>
    <t>WACC INPUTS</t>
  </si>
  <si>
    <t xml:space="preserve">Risk-Free Rate </t>
  </si>
  <si>
    <t>10Y Treasury yield, 10/26/26</t>
  </si>
  <si>
    <t>Equity Risk Premium</t>
  </si>
  <si>
    <t>Alpha Spread</t>
  </si>
  <si>
    <t>Yahoo Finance, 10/26/26 (was 1.107 in April)</t>
  </si>
  <si>
    <t>Cost of Equity</t>
  </si>
  <si>
    <t>CAPM</t>
  </si>
  <si>
    <t>Pre-tax Cost of Debt</t>
  </si>
  <si>
    <t>10Y Treasury + ~40bp (AAA-rated; approx.). Was 3.5%, below the risk-free rate</t>
  </si>
  <si>
    <t>After-tax Cost of Debt</t>
  </si>
  <si>
    <t>Pre-tax cost of debt * (1 - tax rate)</t>
  </si>
  <si>
    <t>Debt Weight</t>
  </si>
  <si>
    <t>Market value: debt incl. finance leases / (debt + market cap)</t>
  </si>
  <si>
    <t>Equity Rate</t>
  </si>
  <si>
    <t>1 - Debt Weight</t>
  </si>
  <si>
    <t>WACC</t>
  </si>
  <si>
    <t>(Equity Rate * Cost of Equity) + (Debt Weight * After-tax Cost of Debt)</t>
  </si>
  <si>
    <t>TERMINAL VALUE INPUTS</t>
  </si>
  <si>
    <t>Terminal Growth Rate</t>
  </si>
  <si>
    <t>Long-run nominal GDP</t>
  </si>
  <si>
    <t>SHARES &amp; PRICE</t>
  </si>
  <si>
    <t>Diluted Shares Outstanding</t>
  </si>
  <si>
    <t>Basic shares (Yahoo, 10/26/26) + FY2026 dilution</t>
  </si>
  <si>
    <t>Current Stock Price</t>
  </si>
  <si>
    <t>Yahoo Finance close, 10/26/26</t>
  </si>
  <si>
    <t>VALUATION TIMING</t>
  </si>
  <si>
    <t>Valuation Date</t>
  </si>
  <si>
    <t>Price date</t>
  </si>
  <si>
    <t>FY2027 Year End</t>
  </si>
  <si>
    <t>Fiscal year ends June 30</t>
  </si>
  <si>
    <t>Stub Fraction (FY2027E)</t>
  </si>
  <si>
    <t>Share of FY2027E cash flow still ahead of the valuation date</t>
  </si>
  <si>
    <t>BALANCE SHEET (FY2026 10-K, 6/30/2026)</t>
  </si>
  <si>
    <t>Long-Term Debt (incl. current portion)</t>
  </si>
  <si>
    <t>10-K: LongTermDebt</t>
  </si>
  <si>
    <t>Finance Lease Liabilities</t>
  </si>
  <si>
    <t>10-K lease note; Yahoo 'Total Debt' only includes $16.5B of this</t>
  </si>
  <si>
    <t>Total Debt incl. Finance Leases</t>
  </si>
  <si>
    <t>Operating leases excluded (their cost is in EBIT)</t>
  </si>
  <si>
    <t>Cash &amp; Short-Term Investments</t>
  </si>
  <si>
    <t>10-K balance sheet</t>
  </si>
  <si>
    <t>Long-Term Equity Investments</t>
  </si>
  <si>
    <t>10-K carrying value (incl. OpenAI stake); market value is likely far higher</t>
  </si>
  <si>
    <t>Dilutive Securities (shares)</t>
  </si>
  <si>
    <t>FY2026 diluted minus basic weighted shares (10-K)</t>
  </si>
  <si>
    <t>MSFT DCF Model - Forecast</t>
  </si>
  <si>
    <t>FY2022</t>
  </si>
  <si>
    <t>FY2023</t>
  </si>
  <si>
    <t>FY2024</t>
  </si>
  <si>
    <t>FY2025</t>
  </si>
  <si>
    <t>FY2026</t>
  </si>
  <si>
    <t>FY2027E</t>
  </si>
  <si>
    <t>FY2028E</t>
  </si>
  <si>
    <t>FY2029E</t>
  </si>
  <si>
    <t>FY2030E</t>
  </si>
  <si>
    <t>FY2031E</t>
  </si>
  <si>
    <t>Revenue Growth %</t>
  </si>
  <si>
    <t>Free Cash Flow Build</t>
  </si>
  <si>
    <t>NOPAT (EBIT after Tax)</t>
  </si>
  <si>
    <t>Plus: D&amp;A</t>
  </si>
  <si>
    <t>Less: CapEx</t>
  </si>
  <si>
    <t>Less: Change in NWC</t>
  </si>
  <si>
    <t>FCFF</t>
  </si>
  <si>
    <t>MSFT DCF Model - DCF</t>
  </si>
  <si>
    <t>Forecast Year</t>
  </si>
  <si>
    <t>Discount Period</t>
  </si>
  <si>
    <t>FCFF (FY2027E pro-rated to stub)</t>
  </si>
  <si>
    <t>Discount Factor</t>
  </si>
  <si>
    <t>PV of FCFF</t>
  </si>
  <si>
    <t>Sum of PV (FCFF)</t>
  </si>
  <si>
    <t>Terminal Year FCFF (FY2032E)</t>
  </si>
  <si>
    <t>Terminal Value</t>
  </si>
  <si>
    <t>PV of Terminal Value</t>
  </si>
  <si>
    <t>Enterprise Value</t>
  </si>
  <si>
    <t>Less: Total Debt incl. Finance Leases</t>
  </si>
  <si>
    <t>Plus: Cash &amp; Short-Term Investments</t>
  </si>
  <si>
    <t>Plus: Long-Term Equity Investments</t>
  </si>
  <si>
    <t>Equity Value</t>
  </si>
  <si>
    <t>Intrinsic Value Per Share</t>
  </si>
  <si>
    <t>Implied Upside / Downside</t>
  </si>
  <si>
    <t>MSFT DCF Model - Sensitivity</t>
  </si>
  <si>
    <t>Sensitivity Analysis: Intrinsic Value Per Share (USD)</t>
  </si>
  <si>
    <t>TERMINAL GROWTH RATE →</t>
  </si>
  <si>
    <t>WACC 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</si>
</sst>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&quot;$&quot;#,##0.00,,,&quot;T&quot;"/>
    <numFmt numFmtId="166" formatCode="0.000"/>
    <numFmt numFmtId="167" formatCode="mm/dd/yyyy"/>
  </numFmts>
  <fonts count="11" x14ac:knownFonts="1">
    <font>
      <sz val="11"/>
      <color theme="1"/>
      <name val="Calibri"/>
      <family val="2"/>
      <scheme val="minor"/>
    </font>
    <font>
      <b/>
      <sz val="12"/>
      <color rgb="FF1F3864"/>
      <name val="Calibri"/>
      <family val="2"/>
    </font>
    <font>
      <i/>
      <sz val="9"/>
      <color rgb="FF888888"/>
      <name val="Calibri"/>
      <family val="2"/>
    </font>
    <font>
      <b/>
      <sz val="10"/>
      <color rgb="FFFFFFFF"/>
      <name val="Calibri"/>
      <family val="2"/>
    </font>
    <font>
      <b/>
      <sz val="11"/>
      <color rgb="FF444444"/>
      <name val="Calibri"/>
      <family val="2"/>
    </font>
    <font>
      <b/>
      <i/>
      <sz val="12"/>
      <color rgb="FF888888"/>
      <name val="Calibri"/>
      <family val="2"/>
    </font>
    <font>
      <i/>
      <sz val="11"/>
      <color rgb="FF888888"/>
      <name val="Calibri (Body)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rgb="FF888888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3" fontId="0" fillId="0" borderId="0" xfId="0" applyNumberForma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0" fontId="0" fillId="0" borderId="0" xfId="0" applyNumberFormat="1" applyAlignment="1">
      <alignment horizontal="left"/>
    </xf>
    <xf numFmtId="10" fontId="0" fillId="0" borderId="0" xfId="0" applyNumberFormat="1"/>
    <xf numFmtId="10" fontId="0" fillId="3" borderId="0" xfId="0" applyNumberFormat="1" applyFill="1"/>
    <xf numFmtId="9" fontId="0" fillId="0" borderId="0" xfId="0" applyNumberFormat="1"/>
    <xf numFmtId="4" fontId="8" fillId="0" borderId="0" xfId="0" applyNumberFormat="1" applyFont="1"/>
    <xf numFmtId="0" fontId="9" fillId="0" borderId="0" xfId="0" applyFont="1"/>
    <xf numFmtId="4" fontId="7" fillId="0" borderId="0" xfId="0" applyNumberFormat="1" applyFont="1"/>
    <xf numFmtId="165" fontId="0" fillId="0" borderId="0" xfId="0" applyNumberFormat="1"/>
    <xf numFmtId="10" fontId="10" fillId="0" borderId="0" xfId="0" applyNumberFormat="1" applyFont="1"/>
    <xf numFmtId="166" fontId="10" fillId="0" borderId="0" xfId="0" applyNumberFormat="1" applyFont="1"/>
    <xf numFmtId="0" fontId="10" fillId="0" borderId="0" xfId="0" applyFont="1"/>
    <xf numFmtId="164" fontId="0" fillId="0" borderId="1" xfId="0" applyNumberFormat="1" applyBorder="1"/>
    <xf numFmtId="167" fontId="0" fillId="0" borderId="0" xfId="0" applyNumberFormat="1"/>
    <xf numFmtId="166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2"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showGridLines="0" topLeftCell="B1" zoomScale="57" workbookViewId="0">
      <selection activeCell="B17" sqref="B17"/>
    </sheetView>
  </sheetViews>
  <sheetFormatPr baseColWidth="10" defaultColWidth="8.83203125" defaultRowHeight="15" x14ac:dyDescent="0.2"/>
  <cols>
    <col min="1" max="1" width="22" customWidth="1"/>
    <col min="2" max="5" width="17" customWidth="1"/>
    <col min="6" max="7" width="21" customWidth="1"/>
    <col min="8" max="8" width="14.5" customWidth="1"/>
    <col min="9" max="9" width="28.83203125" customWidth="1"/>
    <col min="10" max="10" width="23.5" customWidth="1"/>
    <col min="11" max="11" width="17" customWidth="1"/>
    <col min="12" max="13" width="16" customWidth="1"/>
    <col min="14" max="15" width="13" customWidth="1"/>
  </cols>
  <sheetData>
    <row r="1" spans="1:15" ht="16" customHeight="1" x14ac:dyDescent="0.2">
      <c r="A1" s="28" t="s">
        <v>13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5" x14ac:dyDescent="0.2">
      <c r="A2" s="2" t="s">
        <v>14</v>
      </c>
    </row>
    <row r="4" spans="1:15" x14ac:dyDescent="0.2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  <c r="J4" s="3" t="s">
        <v>24</v>
      </c>
      <c r="K4" s="3" t="s">
        <v>25</v>
      </c>
      <c r="L4" s="3" t="s">
        <v>26</v>
      </c>
      <c r="M4" s="3" t="s">
        <v>27</v>
      </c>
      <c r="N4" s="3" t="s">
        <v>28</v>
      </c>
      <c r="O4" s="3" t="s">
        <v>29</v>
      </c>
    </row>
    <row r="5" spans="1:15" x14ac:dyDescent="0.2">
      <c r="A5">
        <v>2021</v>
      </c>
      <c r="B5" s="4">
        <v>168088000000</v>
      </c>
      <c r="C5" s="4">
        <v>115856000000</v>
      </c>
      <c r="D5" s="4">
        <v>69916000000</v>
      </c>
      <c r="E5" s="4">
        <v>61271000000</v>
      </c>
      <c r="F5" s="5">
        <v>0.68925800771024703</v>
      </c>
      <c r="G5" s="5">
        <v>0.41594878872971303</v>
      </c>
      <c r="H5" s="5">
        <v>0.13826615285083399</v>
      </c>
      <c r="I5" s="4">
        <v>11689000000</v>
      </c>
      <c r="J5" s="4">
        <v>20622000000</v>
      </c>
      <c r="K5" s="4">
        <v>56118000000</v>
      </c>
      <c r="L5" s="4">
        <v>67775000000</v>
      </c>
      <c r="M5" s="4">
        <v>14224000000</v>
      </c>
      <c r="N5" s="4">
        <v>95749000000</v>
      </c>
      <c r="O5" s="4">
        <v>130334000000</v>
      </c>
    </row>
    <row r="6" spans="1:15" x14ac:dyDescent="0.2">
      <c r="A6">
        <v>2022</v>
      </c>
      <c r="B6" s="4">
        <v>198270000000</v>
      </c>
      <c r="C6" s="4">
        <v>135620000000</v>
      </c>
      <c r="D6" s="4">
        <v>83383000000</v>
      </c>
      <c r="E6" s="4">
        <v>72738000000</v>
      </c>
      <c r="F6" s="5">
        <v>0.68401674484289099</v>
      </c>
      <c r="G6" s="5">
        <v>0.4205527815604983</v>
      </c>
      <c r="H6" s="5">
        <v>0.13113383343685789</v>
      </c>
      <c r="I6" s="4">
        <v>14460000000</v>
      </c>
      <c r="J6" s="4">
        <v>23886000000</v>
      </c>
      <c r="K6" s="4">
        <v>65149000000</v>
      </c>
      <c r="L6" s="4">
        <v>61270000000</v>
      </c>
      <c r="M6" s="4">
        <v>13931000000</v>
      </c>
      <c r="N6" s="4">
        <v>74602000000</v>
      </c>
      <c r="O6" s="4">
        <v>104749000000</v>
      </c>
    </row>
    <row r="7" spans="1:15" x14ac:dyDescent="0.2">
      <c r="A7">
        <v>2023</v>
      </c>
      <c r="B7" s="4">
        <v>211915000000</v>
      </c>
      <c r="C7" s="4">
        <v>146052000000</v>
      </c>
      <c r="D7" s="4">
        <v>88523000000</v>
      </c>
      <c r="E7" s="4">
        <v>72361000000</v>
      </c>
      <c r="F7" s="5">
        <v>0.68920085883491022</v>
      </c>
      <c r="G7" s="5">
        <v>0.41772880636104098</v>
      </c>
      <c r="H7" s="5">
        <v>0.1897862525332826</v>
      </c>
      <c r="I7" s="4">
        <v>13861000000</v>
      </c>
      <c r="J7" s="4">
        <v>28107000000</v>
      </c>
      <c r="K7" s="4">
        <v>59475000000</v>
      </c>
      <c r="L7" s="4">
        <v>59965000000</v>
      </c>
      <c r="M7" s="4">
        <v>34704000000</v>
      </c>
      <c r="N7" s="4">
        <v>80108000000</v>
      </c>
      <c r="O7" s="4">
        <v>111256000000</v>
      </c>
    </row>
    <row r="8" spans="1:15" x14ac:dyDescent="0.2">
      <c r="A8">
        <v>2024</v>
      </c>
      <c r="B8" s="4">
        <v>245122000000</v>
      </c>
      <c r="C8" s="4">
        <v>171008000000</v>
      </c>
      <c r="D8" s="4">
        <v>109433000000</v>
      </c>
      <c r="E8" s="4">
        <v>88136000000</v>
      </c>
      <c r="F8" s="5">
        <v>0.69764443827971379</v>
      </c>
      <c r="G8" s="5">
        <v>0.44644299573273721</v>
      </c>
      <c r="H8" s="5">
        <v>0.18231326597827199</v>
      </c>
      <c r="I8" s="4">
        <v>20958000000</v>
      </c>
      <c r="J8" s="4">
        <v>44477000000</v>
      </c>
      <c r="K8" s="4">
        <v>74071000000</v>
      </c>
      <c r="L8" s="4">
        <v>67127000000</v>
      </c>
      <c r="M8" s="4">
        <v>18315000000</v>
      </c>
      <c r="N8" s="4">
        <v>34448000000</v>
      </c>
      <c r="O8" s="4">
        <v>75531000000</v>
      </c>
    </row>
    <row r="9" spans="1:15" x14ac:dyDescent="0.2">
      <c r="A9">
        <v>2025</v>
      </c>
      <c r="B9" s="4">
        <v>281724000000</v>
      </c>
      <c r="C9" s="4">
        <v>193893000000</v>
      </c>
      <c r="D9" s="4">
        <v>128528000000</v>
      </c>
      <c r="E9" s="4">
        <v>101832000000</v>
      </c>
      <c r="F9" s="5">
        <v>0.68823742386165188</v>
      </c>
      <c r="G9" s="5">
        <v>0.45621956240859851</v>
      </c>
      <c r="H9" s="5">
        <v>0.1762964400980368</v>
      </c>
      <c r="I9" s="4">
        <v>29433000000</v>
      </c>
      <c r="J9" s="4">
        <v>64551000000</v>
      </c>
      <c r="K9" s="4">
        <v>71611000000</v>
      </c>
      <c r="L9" s="4">
        <v>60588000000</v>
      </c>
      <c r="M9" s="4">
        <v>30242000000</v>
      </c>
      <c r="N9" s="4">
        <v>49913000000</v>
      </c>
      <c r="O9" s="4">
        <v>94555000000</v>
      </c>
    </row>
    <row r="10" spans="1:15" x14ac:dyDescent="0.2">
      <c r="A10">
        <v>2026</v>
      </c>
      <c r="B10" s="4">
        <v>331839000000</v>
      </c>
      <c r="C10" s="4">
        <v>225465000000</v>
      </c>
      <c r="D10" s="4">
        <v>155237000000</v>
      </c>
      <c r="E10" s="4">
        <v>133749000000</v>
      </c>
      <c r="F10" s="5">
        <v>0.67944093370580316</v>
      </c>
      <c r="G10" s="5">
        <v>0.46780818408927222</v>
      </c>
      <c r="H10" s="5">
        <v>0.19396265985271249</v>
      </c>
      <c r="I10" s="4">
        <v>38534000000</v>
      </c>
      <c r="J10" s="4">
        <v>115948000000</v>
      </c>
      <c r="K10" s="4">
        <v>66987000000</v>
      </c>
      <c r="L10" s="4">
        <v>56826000000</v>
      </c>
      <c r="M10" s="4">
        <v>20935000000</v>
      </c>
      <c r="N10" s="4">
        <v>38885000000</v>
      </c>
      <c r="O10" s="4">
        <v>76651000000</v>
      </c>
    </row>
    <row r="11" spans="1:15" x14ac:dyDescent="0.2">
      <c r="E11" s="12"/>
      <c r="F11" s="5"/>
      <c r="G11" s="5"/>
      <c r="H11" s="5"/>
    </row>
    <row r="15" spans="1:15" x14ac:dyDescent="0.2">
      <c r="H15" s="12"/>
      <c r="I15" s="11"/>
      <c r="J15" s="11"/>
    </row>
    <row r="16" spans="1:15" x14ac:dyDescent="0.2">
      <c r="H16" s="12"/>
      <c r="I16" s="11" t="s">
        <v>23</v>
      </c>
      <c r="J16" s="11"/>
    </row>
    <row r="17" spans="8:10" x14ac:dyDescent="0.2">
      <c r="H17" s="12">
        <v>2024</v>
      </c>
      <c r="I17" s="11">
        <f>I8/B8</f>
        <v>8.5500281492481289E-2</v>
      </c>
      <c r="J17" s="11"/>
    </row>
    <row r="18" spans="8:10" x14ac:dyDescent="0.2">
      <c r="H18" s="12">
        <v>2025</v>
      </c>
      <c r="I18" s="11">
        <f>I9/B9</f>
        <v>0.10447459215402309</v>
      </c>
      <c r="J18" s="11"/>
    </row>
    <row r="19" spans="8:10" x14ac:dyDescent="0.2">
      <c r="H19" s="12">
        <v>2026</v>
      </c>
      <c r="I19" s="11">
        <f>I10/B10</f>
        <v>0.11612257751499974</v>
      </c>
      <c r="J19" s="11"/>
    </row>
    <row r="20" spans="8:10" x14ac:dyDescent="0.2">
      <c r="J20" s="11"/>
    </row>
    <row r="21" spans="8:10" x14ac:dyDescent="0.2">
      <c r="H21" s="12" t="s">
        <v>30</v>
      </c>
      <c r="I21" s="13">
        <f>AVERAGE(I17:I19)</f>
        <v>0.10203248372050137</v>
      </c>
      <c r="J21" s="13"/>
    </row>
    <row r="22" spans="8:10" x14ac:dyDescent="0.2">
      <c r="I22" s="11"/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showGridLines="0" zoomScale="91" workbookViewId="0">
      <selection activeCell="C18" sqref="C18"/>
    </sheetView>
  </sheetViews>
  <sheetFormatPr baseColWidth="10" defaultColWidth="8.83203125" defaultRowHeight="15" x14ac:dyDescent="0.2"/>
  <cols>
    <col min="1" max="1" width="22" customWidth="1"/>
    <col min="2" max="2" width="28" customWidth="1"/>
  </cols>
  <sheetData>
    <row r="1" spans="1:2" ht="16" customHeight="1" x14ac:dyDescent="0.2">
      <c r="A1" s="1" t="s">
        <v>31</v>
      </c>
    </row>
    <row r="3" spans="1:2" x14ac:dyDescent="0.2">
      <c r="A3" s="6" t="s">
        <v>32</v>
      </c>
      <c r="B3" t="s">
        <v>33</v>
      </c>
    </row>
    <row r="4" spans="1:2" x14ac:dyDescent="0.2">
      <c r="A4" s="6" t="s">
        <v>34</v>
      </c>
      <c r="B4" t="s">
        <v>35</v>
      </c>
    </row>
    <row r="5" spans="1:2" x14ac:dyDescent="0.2">
      <c r="A5" s="6" t="s">
        <v>36</v>
      </c>
      <c r="B5">
        <v>1.099</v>
      </c>
    </row>
    <row r="6" spans="1:2" x14ac:dyDescent="0.2">
      <c r="A6" s="6" t="s">
        <v>37</v>
      </c>
      <c r="B6">
        <v>7425545491</v>
      </c>
    </row>
    <row r="7" spans="1:2" x14ac:dyDescent="0.2">
      <c r="A7" s="6" t="s">
        <v>38</v>
      </c>
      <c r="B7" s="20">
        <v>3954845417472</v>
      </c>
    </row>
    <row r="8" spans="1:2" x14ac:dyDescent="0.2">
      <c r="A8" s="6" t="s">
        <v>39</v>
      </c>
      <c r="B8">
        <v>532.6</v>
      </c>
    </row>
    <row r="9" spans="1:2" x14ac:dyDescent="0.2">
      <c r="A9" s="6" t="s">
        <v>40</v>
      </c>
      <c r="B9">
        <v>553.72</v>
      </c>
    </row>
    <row r="10" spans="1:2" x14ac:dyDescent="0.2">
      <c r="A10" s="6" t="s">
        <v>41</v>
      </c>
      <c r="B10">
        <v>349.2</v>
      </c>
    </row>
    <row r="11" spans="1:2" x14ac:dyDescent="0.2">
      <c r="A11" s="6" t="s">
        <v>42</v>
      </c>
      <c r="B11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"/>
  <sheetViews>
    <sheetView showGridLines="0" topLeftCell="A9" zoomScale="91" workbookViewId="0">
      <selection activeCell="B44" sqref="B44"/>
    </sheetView>
  </sheetViews>
  <sheetFormatPr baseColWidth="10" defaultColWidth="8.83203125" defaultRowHeight="15" x14ac:dyDescent="0.2"/>
  <cols>
    <col min="1" max="1" width="33.6640625" customWidth="1"/>
    <col min="2" max="2" width="12.1640625" customWidth="1"/>
    <col min="3" max="6" width="14.6640625" bestFit="1" customWidth="1"/>
  </cols>
  <sheetData>
    <row r="1" spans="1:7" ht="16" customHeight="1" x14ac:dyDescent="0.2">
      <c r="A1" s="7" t="s">
        <v>44</v>
      </c>
    </row>
    <row r="2" spans="1:7" x14ac:dyDescent="0.2">
      <c r="A2" s="8" t="s">
        <v>45</v>
      </c>
    </row>
    <row r="3" spans="1:7" x14ac:dyDescent="0.2">
      <c r="A3" s="8" t="s">
        <v>46</v>
      </c>
    </row>
    <row r="4" spans="1:7" x14ac:dyDescent="0.2">
      <c r="A4" s="9" t="s">
        <v>47</v>
      </c>
      <c r="C4" s="9"/>
    </row>
    <row r="5" spans="1:7" x14ac:dyDescent="0.2">
      <c r="A5" t="s">
        <v>48</v>
      </c>
      <c r="B5" s="15">
        <v>0.17</v>
      </c>
      <c r="C5" s="8" t="s">
        <v>49</v>
      </c>
      <c r="D5" s="4"/>
      <c r="E5" s="4"/>
      <c r="F5" s="4"/>
    </row>
    <row r="6" spans="1:7" x14ac:dyDescent="0.2">
      <c r="A6" t="s">
        <v>50</v>
      </c>
      <c r="B6" s="15">
        <v>0.15</v>
      </c>
      <c r="C6" s="8" t="s">
        <v>51</v>
      </c>
    </row>
    <row r="7" spans="1:7" x14ac:dyDescent="0.2">
      <c r="A7" t="s">
        <v>52</v>
      </c>
      <c r="B7" s="15">
        <v>0.13</v>
      </c>
      <c r="C7" s="8" t="s">
        <v>51</v>
      </c>
    </row>
    <row r="8" spans="1:7" x14ac:dyDescent="0.2">
      <c r="A8" t="s">
        <v>53</v>
      </c>
      <c r="B8" s="15">
        <v>0.12</v>
      </c>
      <c r="C8" s="8" t="s">
        <v>51</v>
      </c>
    </row>
    <row r="9" spans="1:7" x14ac:dyDescent="0.2">
      <c r="A9" t="s">
        <v>54</v>
      </c>
      <c r="B9" s="15">
        <v>0.11</v>
      </c>
      <c r="C9" s="8" t="s">
        <v>55</v>
      </c>
    </row>
    <row r="10" spans="1:7" x14ac:dyDescent="0.2">
      <c r="B10" s="14"/>
    </row>
    <row r="11" spans="1:7" x14ac:dyDescent="0.2">
      <c r="A11" s="9" t="s">
        <v>56</v>
      </c>
      <c r="B11" s="14"/>
    </row>
    <row r="12" spans="1:7" x14ac:dyDescent="0.2">
      <c r="A12" t="s">
        <v>57</v>
      </c>
      <c r="B12" s="14">
        <f>Historicals!F10</f>
        <v>0.67944093370580316</v>
      </c>
      <c r="C12" s="8" t="s">
        <v>58</v>
      </c>
    </row>
    <row r="13" spans="1:7" x14ac:dyDescent="0.2">
      <c r="A13" t="s">
        <v>59</v>
      </c>
      <c r="B13" s="14">
        <f>Historicals!G10</f>
        <v>0.46780818408927222</v>
      </c>
      <c r="C13" s="8" t="s">
        <v>58</v>
      </c>
    </row>
    <row r="14" spans="1:7" x14ac:dyDescent="0.2">
      <c r="A14" t="s">
        <v>22</v>
      </c>
      <c r="B14" s="14">
        <f>Historicals!H10</f>
        <v>0.19396265985271249</v>
      </c>
      <c r="C14" s="8" t="s">
        <v>60</v>
      </c>
      <c r="G14" s="14"/>
    </row>
    <row r="15" spans="1:7" x14ac:dyDescent="0.2">
      <c r="B15" s="14"/>
      <c r="G15" s="16"/>
    </row>
    <row r="16" spans="1:7" x14ac:dyDescent="0.2">
      <c r="A16" s="9" t="s">
        <v>61</v>
      </c>
      <c r="B16" s="14"/>
      <c r="G16" s="16"/>
    </row>
    <row r="17" spans="1:7" x14ac:dyDescent="0.2">
      <c r="A17" t="s">
        <v>62</v>
      </c>
      <c r="B17" s="14">
        <f>Historicals!I21</f>
        <v>0.10203248372050137</v>
      </c>
      <c r="C17" s="8" t="s">
        <v>63</v>
      </c>
      <c r="G17" s="16"/>
    </row>
    <row r="18" spans="1:7" x14ac:dyDescent="0.2">
      <c r="A18" t="s">
        <v>64</v>
      </c>
      <c r="B18" s="15">
        <v>0.3</v>
      </c>
      <c r="C18" s="16">
        <v>0.24</v>
      </c>
      <c r="D18" s="16">
        <v>0.18</v>
      </c>
      <c r="E18" s="16">
        <v>0.14000000000000001</v>
      </c>
      <c r="F18" s="16">
        <v>0.11</v>
      </c>
      <c r="G18" s="8" t="s">
        <v>65</v>
      </c>
    </row>
    <row r="19" spans="1:7" x14ac:dyDescent="0.2">
      <c r="A19" t="s">
        <v>66</v>
      </c>
      <c r="B19" s="15">
        <v>0.03</v>
      </c>
      <c r="C19" s="8" t="s">
        <v>67</v>
      </c>
    </row>
    <row r="21" spans="1:7" x14ac:dyDescent="0.2">
      <c r="A21" s="9" t="s">
        <v>68</v>
      </c>
    </row>
    <row r="22" spans="1:7" x14ac:dyDescent="0.2">
      <c r="A22" t="s">
        <v>69</v>
      </c>
      <c r="B22" s="15">
        <v>4.99E-2</v>
      </c>
      <c r="C22" s="8" t="s">
        <v>70</v>
      </c>
    </row>
    <row r="23" spans="1:7" x14ac:dyDescent="0.2">
      <c r="A23" t="s">
        <v>71</v>
      </c>
      <c r="B23" s="15">
        <v>4.1799999999999997E-2</v>
      </c>
      <c r="C23" s="8" t="s">
        <v>72</v>
      </c>
    </row>
    <row r="24" spans="1:7" x14ac:dyDescent="0.2">
      <c r="A24" t="s">
        <v>36</v>
      </c>
      <c r="B24">
        <f>Profile!B5</f>
        <v>1.099</v>
      </c>
      <c r="C24" s="8" t="s">
        <v>73</v>
      </c>
    </row>
    <row r="25" spans="1:7" x14ac:dyDescent="0.2">
      <c r="A25" t="s">
        <v>74</v>
      </c>
      <c r="B25" s="14">
        <f>B22+B24*B23</f>
        <v>9.5838199999999998E-2</v>
      </c>
      <c r="C25" s="8" t="s">
        <v>75</v>
      </c>
    </row>
    <row r="26" spans="1:7" x14ac:dyDescent="0.2">
      <c r="A26" t="s">
        <v>76</v>
      </c>
      <c r="B26" s="15">
        <f>B22+0.004</f>
        <v>5.3900000000000003E-2</v>
      </c>
      <c r="C26" s="8" t="s">
        <v>77</v>
      </c>
    </row>
    <row r="27" spans="1:7" x14ac:dyDescent="0.2">
      <c r="A27" t="s">
        <v>78</v>
      </c>
      <c r="B27" s="14">
        <f>B26*(1-B14)</f>
        <v>4.34454126339388E-2</v>
      </c>
      <c r="C27" s="8" t="s">
        <v>79</v>
      </c>
    </row>
    <row r="28" spans="1:7" x14ac:dyDescent="0.2">
      <c r="A28" t="s">
        <v>80</v>
      </c>
      <c r="B28" s="15">
        <f>B47/(B47+Profile!B7)</f>
        <v>2.6315858037410659E-2</v>
      </c>
      <c r="C28" s="8" t="s">
        <v>81</v>
      </c>
    </row>
    <row r="29" spans="1:7" x14ac:dyDescent="0.2">
      <c r="A29" t="s">
        <v>82</v>
      </c>
      <c r="B29" s="14">
        <f>1-B28</f>
        <v>0.97368414196258934</v>
      </c>
      <c r="C29" s="8" t="s">
        <v>83</v>
      </c>
    </row>
    <row r="30" spans="1:7" x14ac:dyDescent="0.2">
      <c r="A30" s="9" t="s">
        <v>84</v>
      </c>
      <c r="B30" s="14">
        <f>B29*B25+B28*B27</f>
        <v>9.445943884549049E-2</v>
      </c>
      <c r="C30" s="18" t="s">
        <v>85</v>
      </c>
    </row>
    <row r="31" spans="1:7" x14ac:dyDescent="0.2">
      <c r="B31" s="14"/>
    </row>
    <row r="32" spans="1:7" x14ac:dyDescent="0.2">
      <c r="A32" s="9" t="s">
        <v>86</v>
      </c>
      <c r="B32" s="14"/>
    </row>
    <row r="33" spans="1:8" x14ac:dyDescent="0.2">
      <c r="A33" t="s">
        <v>87</v>
      </c>
      <c r="B33" s="15">
        <v>0.03</v>
      </c>
      <c r="C33" s="8" t="s">
        <v>88</v>
      </c>
    </row>
    <row r="35" spans="1:8" x14ac:dyDescent="0.2">
      <c r="A35" s="9" t="s">
        <v>89</v>
      </c>
    </row>
    <row r="36" spans="1:8" x14ac:dyDescent="0.2">
      <c r="A36" t="s">
        <v>90</v>
      </c>
      <c r="B36">
        <f>Profile!B6+B50</f>
        <v>7449545491</v>
      </c>
      <c r="C36" s="8" t="s">
        <v>91</v>
      </c>
    </row>
    <row r="37" spans="1:8" x14ac:dyDescent="0.2">
      <c r="A37" t="s">
        <v>92</v>
      </c>
      <c r="B37">
        <f>Profile!B8</f>
        <v>532.6</v>
      </c>
      <c r="C37" s="8" t="s">
        <v>93</v>
      </c>
    </row>
    <row r="39" spans="1:8" x14ac:dyDescent="0.2">
      <c r="A39" s="9" t="s">
        <v>94</v>
      </c>
    </row>
    <row r="40" spans="1:8" x14ac:dyDescent="0.2">
      <c r="A40" t="s">
        <v>95</v>
      </c>
      <c r="B40" s="25">
        <v>46321</v>
      </c>
      <c r="C40" s="8" t="s">
        <v>96</v>
      </c>
    </row>
    <row r="41" spans="1:8" x14ac:dyDescent="0.2">
      <c r="A41" t="s">
        <v>97</v>
      </c>
      <c r="B41" s="25">
        <v>46568</v>
      </c>
      <c r="C41" s="8" t="s">
        <v>98</v>
      </c>
    </row>
    <row r="42" spans="1:8" x14ac:dyDescent="0.2">
      <c r="A42" t="s">
        <v>99</v>
      </c>
      <c r="B42" s="26">
        <f>(B41-B40)/365</f>
        <v>0.67671232876712328</v>
      </c>
      <c r="C42" s="8" t="s">
        <v>100</v>
      </c>
      <c r="D42" s="5"/>
      <c r="E42" s="5"/>
      <c r="F42" s="5"/>
      <c r="G42" s="5"/>
      <c r="H42" s="5"/>
    </row>
    <row r="43" spans="1:8" x14ac:dyDescent="0.2">
      <c r="C43" s="5"/>
    </row>
    <row r="44" spans="1:8" x14ac:dyDescent="0.2">
      <c r="A44" s="9" t="s">
        <v>101</v>
      </c>
      <c r="C44" s="5"/>
    </row>
    <row r="45" spans="1:8" x14ac:dyDescent="0.2">
      <c r="A45" t="s">
        <v>102</v>
      </c>
      <c r="B45" s="4">
        <v>40294000000</v>
      </c>
      <c r="C45" s="8" t="s">
        <v>103</v>
      </c>
    </row>
    <row r="46" spans="1:8" x14ac:dyDescent="0.2">
      <c r="A46" t="s">
        <v>104</v>
      </c>
      <c r="B46" s="4">
        <v>66594000000</v>
      </c>
      <c r="C46" s="8" t="s">
        <v>105</v>
      </c>
    </row>
    <row r="47" spans="1:8" x14ac:dyDescent="0.2">
      <c r="A47" t="s">
        <v>106</v>
      </c>
      <c r="B47" s="4">
        <f>B45+B46</f>
        <v>106888000000</v>
      </c>
      <c r="C47" s="8" t="s">
        <v>107</v>
      </c>
    </row>
    <row r="48" spans="1:8" x14ac:dyDescent="0.2">
      <c r="A48" t="s">
        <v>108</v>
      </c>
      <c r="B48" s="4">
        <v>76843000000</v>
      </c>
      <c r="C48" s="8" t="s">
        <v>109</v>
      </c>
    </row>
    <row r="49" spans="1:3" x14ac:dyDescent="0.2">
      <c r="A49" t="s">
        <v>110</v>
      </c>
      <c r="B49" s="4">
        <v>36348000000</v>
      </c>
      <c r="C49" s="8" t="s">
        <v>111</v>
      </c>
    </row>
    <row r="50" spans="1:3" x14ac:dyDescent="0.2">
      <c r="A50" t="s">
        <v>112</v>
      </c>
      <c r="B50" s="4">
        <f>7453000000-7429000000</f>
        <v>24000000</v>
      </c>
      <c r="C50" s="8" t="s">
        <v>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"/>
  <sheetViews>
    <sheetView showGridLines="0" zoomScale="50" zoomScaleNormal="75" workbookViewId="0">
      <selection activeCell="O98" sqref="O98"/>
    </sheetView>
  </sheetViews>
  <sheetFormatPr baseColWidth="10" defaultColWidth="8.83203125" defaultRowHeight="15" x14ac:dyDescent="0.2"/>
  <cols>
    <col min="1" max="1" width="18.1640625" customWidth="1"/>
    <col min="2" max="2" width="20.5" customWidth="1"/>
    <col min="3" max="3" width="21.83203125" customWidth="1"/>
    <col min="4" max="4" width="22.1640625" customWidth="1"/>
    <col min="5" max="5" width="21.5" customWidth="1"/>
    <col min="6" max="6" width="20.5" customWidth="1"/>
    <col min="7" max="7" width="20.83203125" customWidth="1"/>
    <col min="8" max="8" width="22.1640625" customWidth="1"/>
    <col min="9" max="9" width="21" customWidth="1"/>
    <col min="10" max="10" width="21.5" customWidth="1"/>
    <col min="11" max="11" width="21.83203125" customWidth="1"/>
  </cols>
  <sheetData>
    <row r="1" spans="1:11" ht="16" customHeight="1" x14ac:dyDescent="0.2">
      <c r="A1" s="7" t="s">
        <v>114</v>
      </c>
    </row>
    <row r="2" spans="1:11" x14ac:dyDescent="0.2">
      <c r="A2" s="8" t="s">
        <v>1</v>
      </c>
    </row>
    <row r="4" spans="1:11" x14ac:dyDescent="0.2">
      <c r="B4" t="s">
        <v>115</v>
      </c>
      <c r="C4" t="s">
        <v>116</v>
      </c>
      <c r="D4" t="s">
        <v>117</v>
      </c>
      <c r="E4" t="s">
        <v>118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</row>
    <row r="5" spans="1:11" x14ac:dyDescent="0.2">
      <c r="A5" t="s">
        <v>16</v>
      </c>
      <c r="B5" s="10">
        <f>Historicals!B6</f>
        <v>198270000000</v>
      </c>
      <c r="C5" s="10">
        <f>Historicals!B7</f>
        <v>211915000000</v>
      </c>
      <c r="D5" s="10">
        <f>Historicals!B8</f>
        <v>245122000000</v>
      </c>
      <c r="E5" s="10">
        <f>Historicals!B9</f>
        <v>281724000000</v>
      </c>
      <c r="F5" s="10">
        <f>Historicals!B10</f>
        <v>331839000000</v>
      </c>
      <c r="G5" s="10">
        <f>F5*(1 + Assumptions!B5)</f>
        <v>388251630000</v>
      </c>
      <c r="H5" s="10">
        <f>G5*(1+Assumptions!B6)</f>
        <v>446489374499.99994</v>
      </c>
      <c r="I5" s="10">
        <f>H5*(1+Assumptions!B7)</f>
        <v>504532993184.99988</v>
      </c>
      <c r="J5" s="10">
        <f>I5*(1+Assumptions!B8)</f>
        <v>565076952367.19995</v>
      </c>
      <c r="K5" s="10">
        <f>J5*(1+Assumptions!B9)</f>
        <v>627235417127.59204</v>
      </c>
    </row>
    <row r="6" spans="1:11" x14ac:dyDescent="0.2">
      <c r="A6" t="s">
        <v>125</v>
      </c>
      <c r="B6" s="10">
        <f>B5/Historicals!B5-1</f>
        <v>0.17956070629670173</v>
      </c>
      <c r="C6" s="10">
        <f>C5/B5-1</f>
        <v>6.8820295556564215E-2</v>
      </c>
      <c r="D6" s="10">
        <f>D5/C5-1</f>
        <v>0.1566996201307127</v>
      </c>
      <c r="E6" s="10">
        <f>E5/D5-1</f>
        <v>0.14932156232406713</v>
      </c>
      <c r="F6" s="10">
        <f>F5/E5-1</f>
        <v>0.17788686799846665</v>
      </c>
      <c r="G6" s="10">
        <f>Assumptions!$B$5</f>
        <v>0.17</v>
      </c>
      <c r="H6" s="10">
        <f>Assumptions!$B$6</f>
        <v>0.15</v>
      </c>
      <c r="I6" s="10">
        <f>Assumptions!$B$7</f>
        <v>0.13</v>
      </c>
      <c r="J6" s="10">
        <f>Assumptions!$B$8</f>
        <v>0.12</v>
      </c>
      <c r="K6" s="10">
        <f>Assumptions!$B$9</f>
        <v>0.11</v>
      </c>
    </row>
    <row r="7" spans="1:11" x14ac:dyDescent="0.2">
      <c r="A7" t="s">
        <v>17</v>
      </c>
      <c r="B7" s="10">
        <f>Historicals!C6</f>
        <v>135620000000</v>
      </c>
      <c r="C7" s="10">
        <f>Historicals!C7</f>
        <v>146052000000</v>
      </c>
      <c r="D7" s="10">
        <f>Historicals!C8</f>
        <v>171008000000</v>
      </c>
      <c r="E7" s="10">
        <f>Historicals!C9</f>
        <v>193893000000</v>
      </c>
      <c r="F7" s="10">
        <f>Historicals!C10</f>
        <v>225465000000</v>
      </c>
      <c r="G7" s="10">
        <f>G5*Assumptions!$B$12</f>
        <v>263794050000.00003</v>
      </c>
      <c r="H7" s="10">
        <f>H5*Assumptions!$B$12</f>
        <v>303363157500</v>
      </c>
      <c r="I7" s="10">
        <f>I5*Assumptions!$B$12</f>
        <v>342800367974.99994</v>
      </c>
      <c r="J7" s="10">
        <f>J5*Assumptions!$B$12</f>
        <v>383936412132</v>
      </c>
      <c r="K7" s="10">
        <f>K5*Assumptions!$B$12</f>
        <v>426169417466.52008</v>
      </c>
    </row>
    <row r="8" spans="1:11" x14ac:dyDescent="0.2">
      <c r="A8" t="s">
        <v>57</v>
      </c>
      <c r="B8" s="10">
        <f t="shared" ref="B8:K8" si="0">B7/B5</f>
        <v>0.68401674484289099</v>
      </c>
      <c r="C8" s="10">
        <f t="shared" si="0"/>
        <v>0.68920085883491022</v>
      </c>
      <c r="D8" s="10">
        <f t="shared" si="0"/>
        <v>0.69764443827971379</v>
      </c>
      <c r="E8" s="10">
        <f t="shared" si="0"/>
        <v>0.68823742386165188</v>
      </c>
      <c r="F8" s="10">
        <f t="shared" si="0"/>
        <v>0.67944093370580316</v>
      </c>
      <c r="G8" s="10">
        <f t="shared" si="0"/>
        <v>0.67944093370580316</v>
      </c>
      <c r="H8" s="10">
        <f t="shared" si="0"/>
        <v>0.67944093370580316</v>
      </c>
      <c r="I8" s="10">
        <f t="shared" si="0"/>
        <v>0.67944093370580316</v>
      </c>
      <c r="J8" s="10">
        <f t="shared" si="0"/>
        <v>0.67944093370580316</v>
      </c>
      <c r="K8" s="10">
        <f t="shared" si="0"/>
        <v>0.67944093370580316</v>
      </c>
    </row>
    <row r="9" spans="1:11" x14ac:dyDescent="0.2">
      <c r="A9" t="s">
        <v>18</v>
      </c>
      <c r="B9" s="10">
        <f>Historicals!D6</f>
        <v>83383000000</v>
      </c>
      <c r="C9" s="10">
        <f>Historicals!D7</f>
        <v>88523000000</v>
      </c>
      <c r="D9" s="10">
        <f>Historicals!D8</f>
        <v>109433000000</v>
      </c>
      <c r="E9" s="10">
        <f>Historicals!D9</f>
        <v>128528000000</v>
      </c>
      <c r="F9" s="10">
        <f>Historicals!D10</f>
        <v>155237000000</v>
      </c>
      <c r="G9" s="10">
        <f>G5*Assumptions!$B$13</f>
        <v>181627290000</v>
      </c>
      <c r="H9" s="10">
        <f>H5*Assumptions!$B$13</f>
        <v>208871383499.99997</v>
      </c>
      <c r="I9" s="10">
        <f>I5*Assumptions!$B$13</f>
        <v>236024663354.99994</v>
      </c>
      <c r="J9" s="10">
        <f>J5*Assumptions!$B$13</f>
        <v>264347622957.59998</v>
      </c>
      <c r="K9" s="10">
        <f>K5*Assumptions!$B$13</f>
        <v>293425861482.93604</v>
      </c>
    </row>
    <row r="10" spans="1:11" x14ac:dyDescent="0.2">
      <c r="A10" t="s">
        <v>59</v>
      </c>
      <c r="B10" s="10">
        <f t="shared" ref="B10:K10" si="1">B9/B5</f>
        <v>0.4205527815604983</v>
      </c>
      <c r="C10" s="10">
        <f t="shared" si="1"/>
        <v>0.41772880636104098</v>
      </c>
      <c r="D10" s="10">
        <f t="shared" si="1"/>
        <v>0.44644299573273716</v>
      </c>
      <c r="E10" s="10">
        <f t="shared" si="1"/>
        <v>0.45621956240859851</v>
      </c>
      <c r="F10" s="10">
        <f t="shared" si="1"/>
        <v>0.46780818408927222</v>
      </c>
      <c r="G10" s="10">
        <f t="shared" si="1"/>
        <v>0.46780818408927222</v>
      </c>
      <c r="H10" s="10">
        <f t="shared" si="1"/>
        <v>0.46780818408927222</v>
      </c>
      <c r="I10" s="10">
        <f t="shared" si="1"/>
        <v>0.46780818408927222</v>
      </c>
      <c r="J10" s="10">
        <f t="shared" si="1"/>
        <v>0.46780818408927222</v>
      </c>
      <c r="K10" s="10">
        <f t="shared" si="1"/>
        <v>0.46780818408927222</v>
      </c>
    </row>
    <row r="12" spans="1:11" x14ac:dyDescent="0.2">
      <c r="A12" s="9" t="s">
        <v>126</v>
      </c>
      <c r="B12" t="s">
        <v>115</v>
      </c>
      <c r="C12" t="s">
        <v>116</v>
      </c>
      <c r="D12" t="s">
        <v>117</v>
      </c>
      <c r="E12" t="s">
        <v>118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</row>
    <row r="13" spans="1:11" ht="16" customHeight="1" x14ac:dyDescent="0.25">
      <c r="A13" t="s">
        <v>127</v>
      </c>
      <c r="B13" s="17">
        <f>B9*(1-Historicals!H6)</f>
        <v>72448667566.53447</v>
      </c>
      <c r="C13" s="17">
        <f>C9*(1-Historicals!H7)</f>
        <v>71722551566.996216</v>
      </c>
      <c r="D13" s="17">
        <f>D9*(1-Historicals!H8)</f>
        <v>89481912364.199753</v>
      </c>
      <c r="E13" s="17">
        <f>E9*(1-Historicals!H9)</f>
        <v>105868971147.07953</v>
      </c>
      <c r="F13" s="17">
        <f>F9*(1-Historicals!H10)</f>
        <v>125126818572.44447</v>
      </c>
      <c r="G13" s="17">
        <f>G9*(1-Assumptions!$B$14)</f>
        <v>146398377729.76004</v>
      </c>
      <c r="H13" s="17">
        <f>H9*(1-Assumptions!$B$14)</f>
        <v>168358134389.22403</v>
      </c>
      <c r="I13" s="17">
        <f>I9*(1-Assumptions!$B$14)</f>
        <v>190244691859.82312</v>
      </c>
      <c r="J13" s="17">
        <f>J9*(1-Assumptions!$B$14)</f>
        <v>213074054883.00192</v>
      </c>
      <c r="K13" s="17">
        <f>K9*(1-Assumptions!$B$14)</f>
        <v>236512200920.1322</v>
      </c>
    </row>
    <row r="14" spans="1:11" x14ac:dyDescent="0.2">
      <c r="A14" t="s">
        <v>128</v>
      </c>
      <c r="B14" s="4">
        <f>Historicals!I6</f>
        <v>14460000000</v>
      </c>
      <c r="C14" s="4">
        <f>Historicals!I7</f>
        <v>13861000000</v>
      </c>
      <c r="D14" s="4">
        <f>Historicals!I8</f>
        <v>20958000000</v>
      </c>
      <c r="E14" s="4">
        <f>Historicals!I9</f>
        <v>29433000000</v>
      </c>
      <c r="F14" s="4">
        <f>Historicals!I10</f>
        <v>38534000000</v>
      </c>
      <c r="G14" s="4">
        <f>G5*Assumptions!$B$17</f>
        <v>39614278117.433121</v>
      </c>
      <c r="H14" s="4">
        <f>H5*Assumptions!$B$17</f>
        <v>45556419835.048088</v>
      </c>
      <c r="I14" s="4">
        <f>I5*Assumptions!$B$17</f>
        <v>51478754413.604332</v>
      </c>
      <c r="J14" s="4">
        <f>J5*Assumptions!$B$17</f>
        <v>57656204943.236862</v>
      </c>
      <c r="K14" s="4">
        <f>K5*Assumptions!$B$17</f>
        <v>63998387486.99292</v>
      </c>
    </row>
    <row r="15" spans="1:11" x14ac:dyDescent="0.2">
      <c r="A15" t="s">
        <v>129</v>
      </c>
      <c r="B15" s="4">
        <f>Historicals!J6</f>
        <v>23886000000</v>
      </c>
      <c r="C15" s="4">
        <f>Historicals!J7</f>
        <v>28107000000</v>
      </c>
      <c r="D15" s="4">
        <f>Historicals!J8</f>
        <v>44477000000</v>
      </c>
      <c r="E15" s="4">
        <f>Historicals!J9</f>
        <v>64551000000</v>
      </c>
      <c r="F15" s="4">
        <f>Historicals!J10</f>
        <v>115948000000</v>
      </c>
      <c r="G15" s="10">
        <f>G5*Assumptions!$B$18</f>
        <v>116475489000</v>
      </c>
      <c r="H15" s="10">
        <f>H5*Assumptions!$C$18</f>
        <v>107157449879.99998</v>
      </c>
      <c r="I15" s="10">
        <f>I5*Assumptions!$D$18</f>
        <v>90815938773.299973</v>
      </c>
      <c r="J15" s="10">
        <f>J5*Assumptions!$E$18</f>
        <v>79110773331.408005</v>
      </c>
      <c r="K15" s="10">
        <f>K5*Assumptions!$F$18</f>
        <v>68995895884.035126</v>
      </c>
    </row>
    <row r="16" spans="1:11" x14ac:dyDescent="0.2">
      <c r="A16" t="s">
        <v>130</v>
      </c>
      <c r="B16" s="10">
        <f>Historicals!N6-Historicals!N5</f>
        <v>-21147000000</v>
      </c>
      <c r="C16" s="10">
        <f>Historicals!N7-Historicals!N6</f>
        <v>5506000000</v>
      </c>
      <c r="D16" s="10">
        <f>Historicals!N8-Historicals!N7</f>
        <v>-45660000000</v>
      </c>
      <c r="E16" s="10">
        <f>Historicals!N9-Historicals!N8</f>
        <v>15465000000</v>
      </c>
      <c r="F16" s="10">
        <f>Historicals!N10-Historicals!N9</f>
        <v>-11028000000</v>
      </c>
      <c r="G16" s="10">
        <f>(G5-F5)*Assumptions!$B$19</f>
        <v>1692378900</v>
      </c>
      <c r="H16" s="10">
        <f>(H5-G5)*Assumptions!$B$19</f>
        <v>1747132334.9999981</v>
      </c>
      <c r="I16" s="10">
        <f>(I5-H5)*Assumptions!$B$19</f>
        <v>1741308560.549998</v>
      </c>
      <c r="J16" s="10">
        <f>(J5-I5)*Assumptions!$B$19</f>
        <v>1816318775.4660022</v>
      </c>
      <c r="K16" s="10">
        <f>(K5-J5)*Assumptions!$B$19</f>
        <v>1864753942.8117626</v>
      </c>
    </row>
    <row r="18" spans="1:11" x14ac:dyDescent="0.2">
      <c r="A18" s="9" t="s">
        <v>131</v>
      </c>
      <c r="B18" s="4">
        <f t="shared" ref="B18:K18" si="2">B13 + B14 - B15 - B16</f>
        <v>84169667566.53447</v>
      </c>
      <c r="C18" s="4">
        <f t="shared" si="2"/>
        <v>51970551566.996216</v>
      </c>
      <c r="D18" s="4">
        <f t="shared" si="2"/>
        <v>111622912364.19975</v>
      </c>
      <c r="E18" s="4">
        <f t="shared" si="2"/>
        <v>55285971147.079529</v>
      </c>
      <c r="F18" s="4">
        <f t="shared" si="2"/>
        <v>58740818572.444458</v>
      </c>
      <c r="G18" s="4">
        <f t="shared" si="2"/>
        <v>67844787947.193176</v>
      </c>
      <c r="H18" s="4">
        <f t="shared" si="2"/>
        <v>105009972009.27214</v>
      </c>
      <c r="I18" s="4">
        <f t="shared" si="2"/>
        <v>149166198939.57751</v>
      </c>
      <c r="J18" s="4">
        <f t="shared" si="2"/>
        <v>189803167719.36475</v>
      </c>
      <c r="K18" s="4">
        <f t="shared" si="2"/>
        <v>229649938580.27823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7"/>
  <sheetViews>
    <sheetView showGridLines="0" zoomScaleNormal="100" workbookViewId="0">
      <selection activeCell="B25" sqref="B25"/>
    </sheetView>
  </sheetViews>
  <sheetFormatPr baseColWidth="10" defaultColWidth="8.83203125" defaultRowHeight="15" x14ac:dyDescent="0.2"/>
  <cols>
    <col min="1" max="1" width="22.33203125" customWidth="1"/>
    <col min="2" max="2" width="20.5" customWidth="1"/>
    <col min="3" max="3" width="17.6640625" customWidth="1"/>
    <col min="4" max="4" width="17.33203125" bestFit="1" customWidth="1"/>
    <col min="5" max="5" width="17.5" customWidth="1"/>
    <col min="6" max="6" width="20.33203125" customWidth="1"/>
  </cols>
  <sheetData>
    <row r="1" spans="1:6" ht="16" customHeight="1" x14ac:dyDescent="0.2">
      <c r="A1" s="7" t="s">
        <v>132</v>
      </c>
    </row>
    <row r="2" spans="1:6" x14ac:dyDescent="0.2">
      <c r="A2" s="8" t="s">
        <v>1</v>
      </c>
    </row>
    <row r="5" spans="1:6" x14ac:dyDescent="0.2">
      <c r="A5" t="s">
        <v>133</v>
      </c>
      <c r="B5" t="s">
        <v>120</v>
      </c>
      <c r="C5" t="s">
        <v>121</v>
      </c>
      <c r="D5" t="s">
        <v>122</v>
      </c>
      <c r="E5" t="s">
        <v>123</v>
      </c>
      <c r="F5" t="s">
        <v>124</v>
      </c>
    </row>
    <row r="6" spans="1:6" x14ac:dyDescent="0.2">
      <c r="A6" t="s">
        <v>134</v>
      </c>
      <c r="B6" s="27">
        <f>Assumptions!$B$42</f>
        <v>0.67671232876712328</v>
      </c>
      <c r="C6" s="27">
        <f>B6+1</f>
        <v>1.6767123287671233</v>
      </c>
      <c r="D6" s="27">
        <f>C6+1</f>
        <v>2.6767123287671231</v>
      </c>
      <c r="E6" s="27">
        <f>D6+1</f>
        <v>3.6767123287671231</v>
      </c>
      <c r="F6" s="27">
        <f>E6+1</f>
        <v>4.6767123287671231</v>
      </c>
    </row>
    <row r="7" spans="1:6" x14ac:dyDescent="0.2">
      <c r="A7" t="s">
        <v>135</v>
      </c>
      <c r="B7" s="10">
        <f>Forecast!G18*Assumptions!$B$42</f>
        <v>45911404446.456749</v>
      </c>
      <c r="C7" s="10">
        <f>Forecast!H18</f>
        <v>105009972009.27214</v>
      </c>
      <c r="D7" s="10">
        <f>Forecast!I18</f>
        <v>149166198939.57751</v>
      </c>
      <c r="E7" s="10">
        <f>Forecast!J18</f>
        <v>189803167719.36475</v>
      </c>
      <c r="F7" s="10">
        <f>Forecast!K18</f>
        <v>229649938580.27823</v>
      </c>
    </row>
    <row r="8" spans="1:6" x14ac:dyDescent="0.2">
      <c r="A8" t="s">
        <v>136</v>
      </c>
      <c r="B8" s="10">
        <f>1/(1+Assumptions!$B$30)^B6</f>
        <v>0.94074755727447745</v>
      </c>
      <c r="C8" s="10">
        <f>1/(1+Assumptions!$B$30)^C6</f>
        <v>0.85955451968767449</v>
      </c>
      <c r="D8" s="10">
        <f>1/(1+Assumptions!$B$30)^D6</f>
        <v>0.78536900425875122</v>
      </c>
      <c r="E8" s="10">
        <f>1/(1+Assumptions!$B$30)^E6</f>
        <v>0.71758621323345839</v>
      </c>
      <c r="F8" s="10">
        <f>1/(1+Assumptions!$B$30)^F6</f>
        <v>0.65565354709756685</v>
      </c>
    </row>
    <row r="9" spans="1:6" x14ac:dyDescent="0.2">
      <c r="A9" t="s">
        <v>137</v>
      </c>
      <c r="B9" s="10">
        <f>B7*B8</f>
        <v>43191041584.044769</v>
      </c>
      <c r="C9" s="10">
        <f>C7*C8</f>
        <v>90261796052.846054</v>
      </c>
      <c r="D9" s="10">
        <f>D7*D8</f>
        <v>117150509130.23878</v>
      </c>
      <c r="E9" s="10">
        <f>E7*E8</f>
        <v>136200136383.45393</v>
      </c>
      <c r="F9" s="10">
        <f>F7*F8</f>
        <v>150570796820.8978</v>
      </c>
    </row>
    <row r="10" spans="1:6" x14ac:dyDescent="0.2">
      <c r="B10" s="10"/>
      <c r="C10" s="10"/>
      <c r="D10" s="10"/>
      <c r="E10" s="10"/>
      <c r="F10" s="10"/>
    </row>
    <row r="11" spans="1:6" x14ac:dyDescent="0.2">
      <c r="A11" t="s">
        <v>138</v>
      </c>
      <c r="B11" s="10">
        <f>SUM(B9:F9)</f>
        <v>537374279971.48132</v>
      </c>
      <c r="C11" s="10"/>
      <c r="D11" s="10"/>
      <c r="E11" s="10"/>
      <c r="F11" s="10"/>
    </row>
    <row r="12" spans="1:6" x14ac:dyDescent="0.2">
      <c r="B12" s="10"/>
      <c r="C12" s="10"/>
      <c r="D12" s="19"/>
      <c r="E12" s="10"/>
      <c r="F12" s="10"/>
    </row>
    <row r="13" spans="1:6" x14ac:dyDescent="0.2">
      <c r="A13" t="s">
        <v>139</v>
      </c>
      <c r="B13" s="10">
        <f>Forecast!K18*(1+Assumptions!$B$33)</f>
        <v>236539436737.68658</v>
      </c>
      <c r="C13" s="10"/>
      <c r="D13" s="10"/>
      <c r="E13" s="10"/>
      <c r="F13" s="10"/>
    </row>
    <row r="14" spans="1:6" x14ac:dyDescent="0.2">
      <c r="A14" t="s">
        <v>140</v>
      </c>
      <c r="B14" s="10">
        <f>B13/(Assumptions!B30-Assumptions!B33)</f>
        <v>3669585726687.3276</v>
      </c>
      <c r="C14" s="10"/>
      <c r="D14" s="10"/>
      <c r="E14" s="10"/>
      <c r="F14" s="10"/>
    </row>
    <row r="15" spans="1:6" x14ac:dyDescent="0.2">
      <c r="A15" t="s">
        <v>141</v>
      </c>
      <c r="B15" s="10">
        <f>B14/(1+Assumptions!$B$30)^F6</f>
        <v>2405976898081.1489</v>
      </c>
      <c r="C15" s="10"/>
      <c r="D15" s="10"/>
      <c r="E15" s="10"/>
      <c r="F15" s="10"/>
    </row>
    <row r="16" spans="1:6" x14ac:dyDescent="0.2">
      <c r="B16" s="10"/>
      <c r="C16" s="10"/>
      <c r="D16" s="10"/>
      <c r="E16" s="19"/>
      <c r="F16" s="10"/>
    </row>
    <row r="17" spans="1:6" x14ac:dyDescent="0.2">
      <c r="A17" t="s">
        <v>142</v>
      </c>
      <c r="B17" s="10">
        <f>B11+B15</f>
        <v>2943351178052.6304</v>
      </c>
      <c r="C17" s="10"/>
      <c r="D17" s="10"/>
      <c r="E17" s="10"/>
      <c r="F17" s="10"/>
    </row>
    <row r="18" spans="1:6" x14ac:dyDescent="0.2">
      <c r="A18" s="9"/>
      <c r="B18" s="10"/>
      <c r="C18" s="10"/>
      <c r="D18" s="10"/>
      <c r="E18" s="10"/>
      <c r="F18" s="10"/>
    </row>
    <row r="19" spans="1:6" x14ac:dyDescent="0.2">
      <c r="B19" s="10"/>
      <c r="C19" s="10"/>
      <c r="D19" s="10"/>
      <c r="E19" s="10"/>
      <c r="F19" s="10"/>
    </row>
    <row r="20" spans="1:6" x14ac:dyDescent="0.2">
      <c r="A20" t="s">
        <v>143</v>
      </c>
      <c r="B20" s="10">
        <f>Assumptions!B47</f>
        <v>106888000000</v>
      </c>
      <c r="C20" s="10"/>
      <c r="D20" s="10"/>
      <c r="E20" s="10"/>
      <c r="F20" s="10"/>
    </row>
    <row r="21" spans="1:6" x14ac:dyDescent="0.2">
      <c r="A21" t="s">
        <v>144</v>
      </c>
      <c r="B21" s="10">
        <f>Assumptions!B48</f>
        <v>76843000000</v>
      </c>
      <c r="C21" s="10"/>
      <c r="D21" s="10"/>
      <c r="E21" s="10"/>
      <c r="F21" s="10"/>
    </row>
    <row r="22" spans="1:6" x14ac:dyDescent="0.2">
      <c r="A22" t="s">
        <v>145</v>
      </c>
      <c r="B22" s="10">
        <f>Assumptions!B49</f>
        <v>36348000000</v>
      </c>
      <c r="C22" s="10"/>
      <c r="D22" s="10"/>
      <c r="E22" s="10"/>
      <c r="F22" s="10"/>
    </row>
    <row r="23" spans="1:6" x14ac:dyDescent="0.2">
      <c r="A23" t="s">
        <v>146</v>
      </c>
      <c r="B23" s="10">
        <f>B17-B20+B21+B22</f>
        <v>2949654178052.6304</v>
      </c>
      <c r="C23" s="10"/>
      <c r="D23" s="10"/>
      <c r="E23" s="10"/>
      <c r="F23" s="10"/>
    </row>
    <row r="24" spans="1:6" x14ac:dyDescent="0.2">
      <c r="A24" t="s">
        <v>90</v>
      </c>
      <c r="B24" s="10">
        <f>Assumptions!$B$36</f>
        <v>7449545491</v>
      </c>
      <c r="C24" s="10"/>
      <c r="D24" s="10"/>
      <c r="E24" s="10"/>
      <c r="F24" s="10"/>
    </row>
    <row r="25" spans="1:6" x14ac:dyDescent="0.2">
      <c r="A25" t="s">
        <v>147</v>
      </c>
      <c r="B25" s="10">
        <f>B23/B24</f>
        <v>395.95089144917478</v>
      </c>
      <c r="C25" s="10"/>
      <c r="D25" s="10"/>
      <c r="E25" s="10"/>
      <c r="F25" s="10"/>
    </row>
    <row r="26" spans="1:6" x14ac:dyDescent="0.2">
      <c r="A26" t="s">
        <v>92</v>
      </c>
      <c r="B26" s="10">
        <f>Assumptions!$B$37</f>
        <v>532.6</v>
      </c>
      <c r="C26" s="10"/>
      <c r="D26" s="10"/>
      <c r="E26" s="10"/>
      <c r="F26" s="10"/>
    </row>
    <row r="27" spans="1:6" x14ac:dyDescent="0.2">
      <c r="A27" t="s">
        <v>148</v>
      </c>
      <c r="B27" s="14">
        <f>(B25-B26)/B26</f>
        <v>-0.25656986209317545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"/>
  <sheetViews>
    <sheetView showGridLines="0" zoomScale="101" workbookViewId="0">
      <selection activeCell="F26" sqref="F26"/>
    </sheetView>
  </sheetViews>
  <sheetFormatPr baseColWidth="10" defaultColWidth="8.83203125" defaultRowHeight="15" x14ac:dyDescent="0.2"/>
  <cols>
    <col min="1" max="1" width="8.83203125" customWidth="1"/>
  </cols>
  <sheetData>
    <row r="1" spans="1:9" ht="16" customHeight="1" x14ac:dyDescent="0.2">
      <c r="A1" s="7" t="s">
        <v>149</v>
      </c>
      <c r="I1" s="14"/>
    </row>
    <row r="2" spans="1:9" x14ac:dyDescent="0.2">
      <c r="A2" s="8" t="s">
        <v>1</v>
      </c>
      <c r="I2" s="14"/>
    </row>
    <row r="3" spans="1:9" x14ac:dyDescent="0.2">
      <c r="A3" s="21" t="s">
        <v>150</v>
      </c>
      <c r="B3" s="22"/>
      <c r="C3" s="23"/>
      <c r="D3" s="23"/>
      <c r="E3" s="23"/>
      <c r="F3" s="23"/>
      <c r="G3" s="23"/>
    </row>
    <row r="4" spans="1:9" x14ac:dyDescent="0.2">
      <c r="A4" s="21" t="str">
        <f>"WACC vs. Terminal Growth Rate | Base Case: "&amp;TEXT(DCF!B25,"$0.00")&amp;" | Current Price: "&amp;TEXT(Assumptions!B37,"$0.00")</f>
        <v>WACC vs. Terminal Growth Rate | Base Case: $395.95 | Current Price: $532.60</v>
      </c>
      <c r="B4" s="22"/>
      <c r="C4" s="23"/>
      <c r="D4" s="23"/>
      <c r="E4" s="23"/>
      <c r="F4" s="23"/>
      <c r="G4" s="23"/>
    </row>
    <row r="7" spans="1:9" ht="16" customHeight="1" thickBot="1" x14ac:dyDescent="0.25">
      <c r="D7" s="9" t="s">
        <v>151</v>
      </c>
    </row>
    <row r="8" spans="1:9" ht="16" customHeight="1" thickBot="1" x14ac:dyDescent="0.25">
      <c r="A8" s="9"/>
      <c r="B8" s="10">
        <f>DCF!B25</f>
        <v>395.95089144917478</v>
      </c>
      <c r="C8" s="5">
        <v>0.02</v>
      </c>
      <c r="D8" s="5">
        <v>2.5000000000000001E-2</v>
      </c>
      <c r="E8" s="24">
        <v>0.03</v>
      </c>
      <c r="F8" s="5">
        <v>3.5000000000000003E-2</v>
      </c>
      <c r="G8" s="5">
        <v>0.04</v>
      </c>
    </row>
    <row r="9" spans="1:9" x14ac:dyDescent="0.2">
      <c r="A9" s="9" t="s">
        <v>152</v>
      </c>
      <c r="B9" s="5">
        <v>0.08</v>
      </c>
      <c r="C9">
        <f>(SUMPRODUCT(DCF!$B$7:$F$7/(1+$B9)^DCF!$B$6:$F$6)+DCF!$F$7*(1+C$8)/($B9-C$8)/(1+$B9)^DCF!$F$6-DCF!$B$20+DCF!$B$21+DCF!$B$22)/DCF!$B$24</f>
        <v>441.74568946078278</v>
      </c>
      <c r="D9">
        <f>(SUMPRODUCT(DCF!$B$7:$F$7/(1+$B9)^DCF!$B$6:$F$6)+DCF!$F$7*(1+D$8)/($B9-D$8)/(1+$B9)^DCF!$F$6-DCF!$B$20+DCF!$B$21+DCF!$B$22)/DCF!$B$24</f>
        <v>476.9424819467107</v>
      </c>
      <c r="E9">
        <f>(SUMPRODUCT(DCF!$B$7:$F$7/(1+$B9)^DCF!$B$6:$F$6)+DCF!$F$7*(1+E$8)/($B9-E$8)/(1+$B9)^DCF!$F$6-DCF!$B$20+DCF!$B$21+DCF!$B$22)/DCF!$B$24</f>
        <v>519.17863292982418</v>
      </c>
      <c r="F9">
        <f>(SUMPRODUCT(DCF!$B$7:$F$7/(1+$B9)^DCF!$B$6:$F$6)+DCF!$F$7*(1+F$8)/($B9-F$8)/(1+$B9)^DCF!$F$6-DCF!$B$20+DCF!$B$21+DCF!$B$22)/DCF!$B$24</f>
        <v>570.80059524251851</v>
      </c>
      <c r="G9">
        <f>(SUMPRODUCT(DCF!$B$7:$F$7/(1+$B9)^DCF!$B$6:$F$6)+DCF!$F$7*(1+G$8)/($B9-G$8)/(1+$B9)^DCF!$F$6-DCF!$B$20+DCF!$B$21+DCF!$B$22)/DCF!$B$24</f>
        <v>635.32804813338635</v>
      </c>
    </row>
    <row r="10" spans="1:9" ht="16" customHeight="1" thickBot="1" x14ac:dyDescent="0.25">
      <c r="B10" s="5">
        <v>8.5000000000000006E-2</v>
      </c>
      <c r="C10">
        <f>(SUMPRODUCT(DCF!$B$7:$F$7/(1+$B10)^DCF!$B$6:$F$6)+DCF!$F$7*(1+C$8)/($B10-C$8)/(1+$B10)^DCF!$F$6-DCF!$B$20+DCF!$B$21+DCF!$B$22)/DCF!$B$24</f>
        <v>405.30839420134834</v>
      </c>
      <c r="D10">
        <f>(SUMPRODUCT(DCF!$B$7:$F$7/(1+$B10)^DCF!$B$6:$F$6)+DCF!$F$7*(1+D$8)/($B10-D$8)/(1+$B10)^DCF!$F$6-DCF!$B$20+DCF!$B$21+DCF!$B$22)/DCF!$B$24</f>
        <v>434.5887937871002</v>
      </c>
      <c r="E10">
        <f>(SUMPRODUCT(DCF!$B$7:$F$7/(1+$B10)^DCF!$B$6:$F$6)+DCF!$F$7*(1+E$8)/($B10-E$8)/(1+$B10)^DCF!$F$6-DCF!$B$20+DCF!$B$21+DCF!$B$22)/DCF!$B$24</f>
        <v>469.19290238844349</v>
      </c>
      <c r="F10">
        <f>(SUMPRODUCT(DCF!$B$7:$F$7/(1+$B10)^DCF!$B$6:$F$6)+DCF!$F$7*(1+F$8)/($B10-F$8)/(1+$B10)^DCF!$F$6-DCF!$B$20+DCF!$B$21+DCF!$B$22)/DCF!$B$24</f>
        <v>510.7178327100554</v>
      </c>
      <c r="G10">
        <f>(SUMPRODUCT(DCF!$B$7:$F$7/(1+$B10)^DCF!$B$6:$F$6)+DCF!$F$7*(1+G$8)/($B10-G$8)/(1+$B10)^DCF!$F$6-DCF!$B$20+DCF!$B$21+DCF!$B$22)/DCF!$B$24</f>
        <v>561.47052532535872</v>
      </c>
    </row>
    <row r="11" spans="1:9" ht="16" customHeight="1" thickBot="1" x14ac:dyDescent="0.25">
      <c r="B11" s="24">
        <v>0.09</v>
      </c>
      <c r="C11">
        <f>(SUMPRODUCT(DCF!$B$7:$F$7/(1+$B11)^DCF!$B$6:$F$6)+DCF!$F$7*(1+C$8)/($B11-C$8)/(1+$B11)^DCF!$F$6-DCF!$B$20+DCF!$B$21+DCF!$B$22)/DCF!$B$24</f>
        <v>374.11609024783684</v>
      </c>
      <c r="D11">
        <f>(SUMPRODUCT(DCF!$B$7:$F$7/(1+$B11)^DCF!$B$6:$F$6)+DCF!$F$7*(1+D$8)/($B11-D$8)/(1+$B11)^DCF!$F$6-DCF!$B$20+DCF!$B$21+DCF!$B$22)/DCF!$B$24</f>
        <v>398.79288212821751</v>
      </c>
      <c r="E11">
        <f>(SUMPRODUCT(DCF!$B$7:$F$7/(1+$B11)^DCF!$B$6:$F$6)+DCF!$F$7*(1+E$8)/($B11-E$8)/(1+$B11)^DCF!$F$6-DCF!$B$20+DCF!$B$21+DCF!$B$22)/DCF!$B$24</f>
        <v>427.58247265532856</v>
      </c>
      <c r="F11">
        <f>(SUMPRODUCT(DCF!$B$7:$F$7/(1+$B11)^DCF!$B$6:$F$6)+DCF!$F$7*(1+F$8)/($B11-F$8)/(1+$B11)^DCF!$F$6-DCF!$B$20+DCF!$B$21+DCF!$B$22)/DCF!$B$24</f>
        <v>461.60653418736871</v>
      </c>
      <c r="G11">
        <f>(SUMPRODUCT(DCF!$B$7:$F$7/(1+$B11)^DCF!$B$6:$F$6)+DCF!$F$7*(1+G$8)/($B11-G$8)/(1+$B11)^DCF!$F$6-DCF!$B$20+DCF!$B$21+DCF!$B$22)/DCF!$B$24</f>
        <v>502.43540802581697</v>
      </c>
    </row>
    <row r="12" spans="1:9" x14ac:dyDescent="0.2">
      <c r="B12" s="5">
        <v>9.5000000000000001E-2</v>
      </c>
      <c r="C12">
        <f>(SUMPRODUCT(DCF!$B$7:$F$7/(1+$B12)^DCF!$B$6:$F$6)+DCF!$F$7*(1+C$8)/($B12-C$8)/(1+$B12)^DCF!$F$6-DCF!$B$20+DCF!$B$21+DCF!$B$22)/DCF!$B$24</f>
        <v>347.11895781359999</v>
      </c>
      <c r="D12">
        <f>(SUMPRODUCT(DCF!$B$7:$F$7/(1+$B12)^DCF!$B$6:$F$6)+DCF!$F$7*(1+D$8)/($B12-D$8)/(1+$B12)^DCF!$F$6-DCF!$B$20+DCF!$B$21+DCF!$B$22)/DCF!$B$24</f>
        <v>368.14864826498143</v>
      </c>
      <c r="E12">
        <f>(SUMPRODUCT(DCF!$B$7:$F$7/(1+$B12)^DCF!$B$6:$F$6)+DCF!$F$7*(1+E$8)/($B12-E$8)/(1+$B12)^DCF!$F$6-DCF!$B$20+DCF!$B$21+DCF!$B$22)/DCF!$B$24</f>
        <v>392.41367570888315</v>
      </c>
      <c r="F12">
        <f>(SUMPRODUCT(DCF!$B$7:$F$7/(1+$B12)^DCF!$B$6:$F$6)+DCF!$F$7*(1+F$8)/($B12-F$8)/(1+$B12)^DCF!$F$6-DCF!$B$20+DCF!$B$21+DCF!$B$22)/DCF!$B$24</f>
        <v>420.72287439343506</v>
      </c>
      <c r="G12">
        <f>(SUMPRODUCT(DCF!$B$7:$F$7/(1+$B12)^DCF!$B$6:$F$6)+DCF!$F$7*(1+G$8)/($B12-G$8)/(1+$B12)^DCF!$F$6-DCF!$B$20+DCF!$B$21+DCF!$B$22)/DCF!$B$24</f>
        <v>454.17920011154195</v>
      </c>
    </row>
    <row r="13" spans="1:9" x14ac:dyDescent="0.2">
      <c r="B13" s="5">
        <v>0.1</v>
      </c>
      <c r="C13">
        <f>(SUMPRODUCT(DCF!$B$7:$F$7/(1+$B13)^DCF!$B$6:$F$6)+DCF!$F$7*(1+C$8)/($B13-C$8)/(1+$B13)^DCF!$F$6-DCF!$B$20+DCF!$B$21+DCF!$B$22)/DCF!$B$24</f>
        <v>323.5296530892366</v>
      </c>
      <c r="D13">
        <f>(SUMPRODUCT(DCF!$B$7:$F$7/(1+$B13)^DCF!$B$6:$F$6)+DCF!$F$7*(1+D$8)/($B13-D$8)/(1+$B13)^DCF!$F$6-DCF!$B$20+DCF!$B$21+DCF!$B$22)/DCF!$B$24</f>
        <v>341.62497507015809</v>
      </c>
      <c r="E13">
        <f>(SUMPRODUCT(DCF!$B$7:$F$7/(1+$B13)^DCF!$B$6:$F$6)+DCF!$F$7*(1+E$8)/($B13-E$8)/(1+$B13)^DCF!$F$6-DCF!$B$20+DCF!$B$21+DCF!$B$22)/DCF!$B$24</f>
        <v>362.3053430483543</v>
      </c>
      <c r="F13">
        <f>(SUMPRODUCT(DCF!$B$7:$F$7/(1+$B13)^DCF!$B$6:$F$6)+DCF!$F$7*(1+F$8)/($B13-F$8)/(1+$B13)^DCF!$F$6-DCF!$B$20+DCF!$B$21+DCF!$B$22)/DCF!$B$24</f>
        <v>386.16730610011905</v>
      </c>
      <c r="G13">
        <f>(SUMPRODUCT(DCF!$B$7:$F$7/(1+$B13)^DCF!$B$6:$F$6)+DCF!$F$7*(1+G$8)/($B13-G$8)/(1+$B13)^DCF!$F$6-DCF!$B$20+DCF!$B$21+DCF!$B$22)/DCF!$B$24</f>
        <v>414.00626299384464</v>
      </c>
    </row>
    <row r="14" spans="1:9" x14ac:dyDescent="0.2">
      <c r="A14" s="14"/>
      <c r="B14" s="5">
        <v>0.105</v>
      </c>
      <c r="C14">
        <f>(SUMPRODUCT(DCF!$B$7:$F$7/(1+$B14)^DCF!$B$6:$F$6)+DCF!$F$7*(1+C$8)/($B14-C$8)/(1+$B14)^DCF!$F$6-DCF!$B$20+DCF!$B$21+DCF!$B$22)/DCF!$B$24</f>
        <v>302.74610878915223</v>
      </c>
      <c r="D14">
        <f>(SUMPRODUCT(DCF!$B$7:$F$7/(1+$B14)^DCF!$B$6:$F$6)+DCF!$F$7*(1+D$8)/($B14-D$8)/(1+$B14)^DCF!$F$6-DCF!$B$20+DCF!$B$21+DCF!$B$22)/DCF!$B$24</f>
        <v>318.44854459061975</v>
      </c>
      <c r="E14">
        <f>(SUMPRODUCT(DCF!$B$7:$F$7/(1+$B14)^DCF!$B$6:$F$6)+DCF!$F$7*(1+E$8)/($B14-E$8)/(1+$B14)^DCF!$F$6-DCF!$B$20+DCF!$B$21+DCF!$B$22)/DCF!$B$24</f>
        <v>336.24463849894966</v>
      </c>
      <c r="F14">
        <f>(SUMPRODUCT(DCF!$B$7:$F$7/(1+$B14)^DCF!$B$6:$F$6)+DCF!$F$7*(1+F$8)/($B14-F$8)/(1+$B14)^DCF!$F$6-DCF!$B$20+DCF!$B$21+DCF!$B$22)/DCF!$B$24</f>
        <v>356.58303153704099</v>
      </c>
      <c r="G14">
        <f>(SUMPRODUCT(DCF!$B$7:$F$7/(1+$B14)^DCF!$B$6:$F$6)+DCF!$F$7*(1+G$8)/($B14-G$8)/(1+$B14)^DCF!$F$6-DCF!$B$20+DCF!$B$21+DCF!$B$22)/DCF!$B$24</f>
        <v>380.05040811945406</v>
      </c>
    </row>
    <row r="15" spans="1:9" x14ac:dyDescent="0.2">
      <c r="A15" s="14"/>
    </row>
    <row r="16" spans="1:9" x14ac:dyDescent="0.2">
      <c r="A16" s="14"/>
    </row>
  </sheetData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lessThan" id="{00000000-000E-0000-0500-000001000000}">
            <xm:f>Assumptions!$B$37</xm:f>
            <x14:dxf>
              <fill>
                <patternFill patternType="solid">
                  <bgColor rgb="FFFFC7CE"/>
                </patternFill>
              </fill>
            </x14:dxf>
          </x14:cfRule>
          <x14:cfRule type="cellIs" priority="2" operator="greaterThan" id="{00000000-000E-0000-0500-000002000000}">
            <xm:f>Assumptions!$B$37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m:sqref>C9:G14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5"/>
  <sheetViews>
    <sheetView showGridLines="0" tabSelected="1" workbookViewId="0">
      <selection activeCell="D28" sqref="D28"/>
    </sheetView>
  </sheetViews>
  <sheetFormatPr baseColWidth="10" defaultColWidth="8.83203125" defaultRowHeight="15" x14ac:dyDescent="0.2"/>
  <sheetData>
    <row r="1" spans="1:1" ht="16" customHeight="1" x14ac:dyDescent="0.2">
      <c r="A1" s="7" t="s">
        <v>0</v>
      </c>
    </row>
    <row r="2" spans="1:1" x14ac:dyDescent="0.2">
      <c r="A2" s="8" t="s">
        <v>1</v>
      </c>
    </row>
    <row r="3" spans="1:1" x14ac:dyDescent="0.2">
      <c r="A3" t="str">
        <f>"Valuation date: "&amp;TEXT(Assumptions!B40,"mm/dd/yyyy")</f>
        <v>Valuation date: 10/26/2026</v>
      </c>
    </row>
    <row r="4" spans="1:1" x14ac:dyDescent="0.2">
      <c r="A4" s="9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tr">
        <f>"Market Cap | "&amp;TEXT(Profile!B7/1000000000000,"$0.00")&amp;"T"</f>
        <v>Market Cap | $3.95T</v>
      </c>
    </row>
    <row r="8" spans="1:1" x14ac:dyDescent="0.2">
      <c r="A8" t="str">
        <f>"Current Price | "&amp;TEXT(Assumptions!B37,"$0.00")</f>
        <v>Current Price | $532.60</v>
      </c>
    </row>
    <row r="10" spans="1:1" x14ac:dyDescent="0.2">
      <c r="A10" s="9" t="s">
        <v>5</v>
      </c>
    </row>
    <row r="11" spans="1:1" x14ac:dyDescent="0.2">
      <c r="A11" t="str">
        <f>"Intrinsic Value Per Share | "&amp;TEXT(DCF!B25,"$0.00")</f>
        <v>Intrinsic Value Per Share | $395.95</v>
      </c>
    </row>
    <row r="12" spans="1:1" x14ac:dyDescent="0.2">
      <c r="A12" t="str">
        <f>"Current Market Price | "&amp;TEXT(Assumptions!B37,"$0.00")</f>
        <v>Current Market Price | $532.60</v>
      </c>
    </row>
    <row r="13" spans="1:1" x14ac:dyDescent="0.2">
      <c r="A13" t="str">
        <f>"Implied Upside / Downside | "&amp;TEXT(DCF!B27,"0.00%")</f>
        <v>Implied Upside / Downside | -25.66%</v>
      </c>
    </row>
    <row r="14" spans="1:1" x14ac:dyDescent="0.2">
      <c r="A14" t="s">
        <v>6</v>
      </c>
    </row>
    <row r="16" spans="1:1" x14ac:dyDescent="0.2">
      <c r="A16" s="9" t="s">
        <v>7</v>
      </c>
    </row>
    <row r="17" spans="1:1" x14ac:dyDescent="0.2">
      <c r="A17" t="str">
        <f>"WACC | "&amp;TEXT(Assumptions!B30,"0.00%")</f>
        <v>WACC | 9.45%</v>
      </c>
    </row>
    <row r="18" spans="1:1" x14ac:dyDescent="0.2">
      <c r="A18" t="str">
        <f>"Terminal Growth Rate | "&amp;TEXT(Assumptions!B33,"0.00%")</f>
        <v>Terminal Growth Rate | 3.00%</v>
      </c>
    </row>
    <row r="19" spans="1:1" x14ac:dyDescent="0.2">
      <c r="A19" t="s">
        <v>8</v>
      </c>
    </row>
    <row r="20" spans="1:1" x14ac:dyDescent="0.2">
      <c r="A20" t="str">
        <f>"FY2031E Revenue | "&amp;TEXT(Forecast!K5/1000000000,"$#,##0.0")&amp;"B"</f>
        <v>FY2031E Revenue | $627.2B</v>
      </c>
    </row>
    <row r="22" spans="1:1" x14ac:dyDescent="0.2">
      <c r="A22" s="9" t="s">
        <v>9</v>
      </c>
    </row>
    <row r="23" spans="1:1" x14ac:dyDescent="0.2">
      <c r="A23" t="s">
        <v>10</v>
      </c>
    </row>
    <row r="24" spans="1:1" x14ac:dyDescent="0.2">
      <c r="A24" t="s">
        <v>11</v>
      </c>
    </row>
    <row r="25" spans="1:1" x14ac:dyDescent="0.2">
      <c r="A2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Historicals</vt:lpstr>
      <vt:lpstr>Profile</vt:lpstr>
      <vt:lpstr>Assumptions</vt:lpstr>
      <vt:lpstr>Forecast</vt:lpstr>
      <vt:lpstr>DCF</vt:lpstr>
      <vt:lpstr>Sensitivity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Mason Andrew Trinkner</cp:lastModifiedBy>
  <dcterms:created xsi:type="dcterms:W3CDTF">2026-04-22T06:03:59Z</dcterms:created>
  <dcterms:modified xsi:type="dcterms:W3CDTF">2026-10-27T02:09:22Z</dcterms:modified>
</cp:coreProperties>
</file>